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n.safe4\Documents\PlatformIO\Projects\Dreimaskin_ELS\tools\"/>
    </mc:Choice>
  </mc:AlternateContent>
  <xr:revisionPtr revIDLastSave="0" documentId="8_{E3AE482C-BB37-4FFC-A945-093CD5E38501}" xr6:coauthVersionLast="47" xr6:coauthVersionMax="47" xr10:uidLastSave="{00000000-0000-0000-0000-000000000000}"/>
  <bookViews>
    <workbookView xWindow="-110" yWindow="-110" windowWidth="22780" windowHeight="14540" xr2:uid="{CC52A9D0-33CF-46F2-9F18-8AF108712410}"/>
  </bookViews>
  <sheets>
    <sheet name="Sheet1" sheetId="1" r:id="rId1"/>
  </sheets>
  <definedNames>
    <definedName name="rmt_pr_buff">Sheet1!$O$10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J21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23" i="1"/>
  <c r="O12" i="1"/>
  <c r="O13" i="1" s="1"/>
  <c r="M22" i="1" l="1"/>
  <c r="N22" i="1" s="1"/>
  <c r="M23" i="1"/>
  <c r="N23" i="1" s="1"/>
  <c r="M20" i="1"/>
  <c r="M24" i="1" l="1"/>
  <c r="N24" i="1" s="1"/>
  <c r="M25" i="1"/>
  <c r="N25" i="1" s="1"/>
  <c r="M26" i="1" l="1"/>
  <c r="N26" i="1" s="1"/>
  <c r="M27" i="1"/>
  <c r="N27" i="1" s="1"/>
  <c r="M28" i="1" l="1"/>
  <c r="N28" i="1" s="1"/>
  <c r="M29" i="1"/>
  <c r="N29" i="1" s="1"/>
  <c r="M30" i="1" l="1"/>
  <c r="N30" i="1" s="1"/>
  <c r="M31" i="1"/>
  <c r="N31" i="1" s="1"/>
  <c r="M32" i="1" l="1"/>
  <c r="N32" i="1" s="1"/>
  <c r="M33" i="1"/>
  <c r="N33" i="1" s="1"/>
  <c r="M34" i="1" l="1"/>
  <c r="N34" i="1" s="1"/>
  <c r="M35" i="1"/>
  <c r="N35" i="1" s="1"/>
  <c r="M36" i="1" l="1"/>
  <c r="N36" i="1" s="1"/>
  <c r="M37" i="1"/>
  <c r="N37" i="1" s="1"/>
  <c r="M38" i="1" l="1"/>
  <c r="N38" i="1" s="1"/>
  <c r="M39" i="1"/>
  <c r="N39" i="1" s="1"/>
  <c r="M40" i="1" l="1"/>
  <c r="N40" i="1" s="1"/>
  <c r="M41" i="1"/>
  <c r="N41" i="1" s="1"/>
  <c r="M42" i="1" l="1"/>
  <c r="N42" i="1" s="1"/>
  <c r="M43" i="1"/>
  <c r="N43" i="1" s="1"/>
  <c r="M44" i="1" l="1"/>
  <c r="N44" i="1" s="1"/>
  <c r="M45" i="1"/>
  <c r="N45" i="1" s="1"/>
  <c r="M46" i="1" l="1"/>
  <c r="N46" i="1" s="1"/>
  <c r="M47" i="1"/>
  <c r="N47" i="1" s="1"/>
  <c r="M48" i="1" l="1"/>
  <c r="N48" i="1" s="1"/>
  <c r="M49" i="1"/>
  <c r="N49" i="1" s="1"/>
  <c r="M50" i="1" l="1"/>
  <c r="N50" i="1" s="1"/>
  <c r="M51" i="1"/>
  <c r="N51" i="1" s="1"/>
  <c r="M52" i="1" l="1"/>
  <c r="N52" i="1" s="1"/>
  <c r="M53" i="1"/>
  <c r="N53" i="1" s="1"/>
  <c r="M54" i="1" l="1"/>
  <c r="N54" i="1" s="1"/>
  <c r="M55" i="1"/>
  <c r="N55" i="1" s="1"/>
  <c r="M56" i="1" l="1"/>
  <c r="N56" i="1" s="1"/>
  <c r="M57" i="1"/>
  <c r="N57" i="1" s="1"/>
  <c r="M58" i="1" l="1"/>
  <c r="N58" i="1" s="1"/>
  <c r="M59" i="1"/>
  <c r="N59" i="1" s="1"/>
  <c r="M60" i="1" l="1"/>
  <c r="N60" i="1" s="1"/>
  <c r="M61" i="1"/>
  <c r="N61" i="1" s="1"/>
  <c r="M62" i="1" l="1"/>
  <c r="N62" i="1" s="1"/>
  <c r="M63" i="1"/>
  <c r="N63" i="1" s="1"/>
  <c r="M64" i="1" l="1"/>
  <c r="N64" i="1" s="1"/>
  <c r="M65" i="1"/>
  <c r="N65" i="1" s="1"/>
  <c r="M66" i="1" l="1"/>
  <c r="N66" i="1" s="1"/>
  <c r="M67" i="1"/>
  <c r="N67" i="1" s="1"/>
  <c r="M68" i="1" l="1"/>
  <c r="N68" i="1" s="1"/>
  <c r="M69" i="1"/>
  <c r="N69" i="1" s="1"/>
  <c r="M70" i="1" l="1"/>
  <c r="N70" i="1" s="1"/>
  <c r="M71" i="1"/>
  <c r="N71" i="1" s="1"/>
  <c r="M72" i="1" l="1"/>
  <c r="N72" i="1" s="1"/>
  <c r="M73" i="1"/>
  <c r="N73" i="1" s="1"/>
  <c r="M74" i="1" l="1"/>
  <c r="N74" i="1" s="1"/>
  <c r="M75" i="1"/>
  <c r="N75" i="1" s="1"/>
  <c r="M76" i="1" l="1"/>
  <c r="N76" i="1" s="1"/>
  <c r="M77" i="1"/>
  <c r="N77" i="1" s="1"/>
  <c r="M78" i="1" l="1"/>
  <c r="N78" i="1" s="1"/>
  <c r="M79" i="1"/>
  <c r="N79" i="1" s="1"/>
  <c r="M80" i="1" l="1"/>
  <c r="N80" i="1" s="1"/>
  <c r="M81" i="1"/>
  <c r="N81" i="1" s="1"/>
  <c r="M83" i="1"/>
  <c r="N83" i="1" s="1"/>
  <c r="M82" i="1" l="1"/>
  <c r="N82" i="1" s="1"/>
  <c r="M84" i="1"/>
  <c r="N84" i="1" s="1"/>
  <c r="M21" i="1" l="1"/>
  <c r="N21" i="1" s="1"/>
</calcChain>
</file>

<file path=xl/sharedStrings.xml><?xml version="1.0" encoding="utf-8"?>
<sst xmlns="http://schemas.openxmlformats.org/spreadsheetml/2006/main" count="16" uniqueCount="8">
  <si>
    <t>Count</t>
  </si>
  <si>
    <t>NoPulsItems</t>
  </si>
  <si>
    <t>noPulseBetweenItems</t>
  </si>
  <si>
    <t>rmt_pr_buff</t>
  </si>
  <si>
    <t>SeqNo</t>
  </si>
  <si>
    <t>Sum</t>
  </si>
  <si>
    <t>Average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</si>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</sst>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ont>
        <color theme="0" tint="-0.24994659260841701"/>
      </font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36A6-103A-4849-B119-1959014979C9}">
  <sheetPr codeName="Sheet2"/>
  <dimension ref="J10:CB84"/>
  <sheetViews>
    <sheetView tabSelected="1" topLeftCell="C9" workbookViewId="0">
      <selection activeCell="Q26" sqref="Q26"/>
    </sheetView>
  </sheetViews>
  <sheetFormatPr defaultRowHeight="15" x14ac:dyDescent="0.25"/>
  <cols>
    <col min="10" max="10" width="9" bestFit="1" customWidth="1"/>
    <col min="12" max="12" width="12" bestFit="1" customWidth="1"/>
    <col min="13" max="13" width="3" bestFit="1" customWidth="1"/>
    <col min="14" max="14" width="20.5703125" bestFit="1" customWidth="1"/>
    <col min="15" max="15" width="12" bestFit="1" customWidth="1"/>
    <col min="16" max="24" width="2" bestFit="1" customWidth="1"/>
    <col min="25" max="79" width="3" bestFit="1" customWidth="1"/>
  </cols>
  <sheetData>
    <row r="10" spans="14:15" x14ac:dyDescent="0.25">
      <c r="N10" t="s">
        <v>3</v>
      </c>
      <c r="O10">
        <v>64</v>
      </c>
    </row>
    <row r="11" spans="14:15" x14ac:dyDescent="0.25">
      <c r="N11" t="s">
        <v>0</v>
      </c>
      <c r="O11">
        <v>3</v>
      </c>
    </row>
    <row r="12" spans="14:15" x14ac:dyDescent="0.25">
      <c r="N12" t="s">
        <v>1</v>
      </c>
      <c r="O12">
        <f>O10-O11</f>
        <v>61</v>
      </c>
    </row>
    <row r="13" spans="14:15" x14ac:dyDescent="0.25">
      <c r="N13" t="s">
        <v>2</v>
      </c>
      <c r="O13">
        <f>O12/(O11)</f>
        <v>20.333333333333332</v>
      </c>
    </row>
    <row r="18" spans="10:80" x14ac:dyDescent="0.25">
      <c r="O18" s="1" t="s">
        <v>4</v>
      </c>
      <c r="P18">
        <v>0</v>
      </c>
      <c r="Q18" s="1">
        <v>1</v>
      </c>
      <c r="R18" s="1">
        <v>2</v>
      </c>
      <c r="S18" s="1">
        <v>3</v>
      </c>
      <c r="T18" s="1">
        <v>4</v>
      </c>
      <c r="U18" s="1">
        <v>5</v>
      </c>
      <c r="V18" s="1">
        <v>6</v>
      </c>
      <c r="W18" s="1">
        <v>7</v>
      </c>
      <c r="X18" s="1">
        <v>8</v>
      </c>
      <c r="Y18" s="1">
        <v>9</v>
      </c>
      <c r="Z18" s="1">
        <v>10</v>
      </c>
      <c r="AA18" s="1">
        <v>11</v>
      </c>
      <c r="AB18" s="1">
        <v>12</v>
      </c>
      <c r="AC18" s="1">
        <v>13</v>
      </c>
      <c r="AD18" s="1">
        <v>14</v>
      </c>
      <c r="AE18" s="1">
        <v>15</v>
      </c>
      <c r="AF18" s="1">
        <v>16</v>
      </c>
      <c r="AG18" s="1">
        <v>17</v>
      </c>
      <c r="AH18" s="1">
        <v>18</v>
      </c>
      <c r="AI18" s="1">
        <v>19</v>
      </c>
      <c r="AJ18" s="1">
        <v>20</v>
      </c>
      <c r="AK18" s="1">
        <v>21</v>
      </c>
      <c r="AL18" s="1">
        <v>22</v>
      </c>
      <c r="AM18" s="1">
        <v>23</v>
      </c>
      <c r="AN18" s="1">
        <v>24</v>
      </c>
      <c r="AO18" s="1">
        <v>25</v>
      </c>
      <c r="AP18" s="1">
        <v>26</v>
      </c>
      <c r="AQ18" s="1">
        <v>27</v>
      </c>
      <c r="AR18" s="1">
        <v>28</v>
      </c>
      <c r="AS18" s="1">
        <v>29</v>
      </c>
      <c r="AT18" s="1">
        <v>30</v>
      </c>
      <c r="AU18" s="1">
        <v>31</v>
      </c>
      <c r="AV18" s="1">
        <v>32</v>
      </c>
      <c r="AW18" s="1">
        <v>33</v>
      </c>
      <c r="AX18" s="1">
        <v>34</v>
      </c>
      <c r="AY18" s="1">
        <v>35</v>
      </c>
      <c r="AZ18" s="1">
        <v>36</v>
      </c>
      <c r="BA18" s="1">
        <v>37</v>
      </c>
      <c r="BB18" s="1">
        <v>38</v>
      </c>
      <c r="BC18" s="1">
        <v>39</v>
      </c>
      <c r="BD18" s="1">
        <v>40</v>
      </c>
      <c r="BE18" s="1">
        <v>41</v>
      </c>
      <c r="BF18" s="1">
        <v>42</v>
      </c>
      <c r="BG18" s="1">
        <v>43</v>
      </c>
      <c r="BH18" s="1">
        <v>44</v>
      </c>
      <c r="BI18" s="1">
        <v>45</v>
      </c>
      <c r="BJ18" s="1">
        <v>46</v>
      </c>
      <c r="BK18" s="1">
        <v>47</v>
      </c>
      <c r="BL18" s="1">
        <v>48</v>
      </c>
      <c r="BM18" s="1">
        <v>49</v>
      </c>
      <c r="BN18" s="1">
        <v>50</v>
      </c>
      <c r="BO18" s="1">
        <v>51</v>
      </c>
      <c r="BP18" s="1">
        <v>52</v>
      </c>
      <c r="BQ18" s="1">
        <v>53</v>
      </c>
      <c r="BR18" s="1">
        <v>54</v>
      </c>
      <c r="BS18" s="1">
        <v>55</v>
      </c>
      <c r="BT18" s="1">
        <v>56</v>
      </c>
      <c r="BU18" s="1">
        <v>57</v>
      </c>
      <c r="BV18" s="1">
        <v>58</v>
      </c>
      <c r="BW18" s="1">
        <v>59</v>
      </c>
      <c r="BX18" s="1">
        <v>60</v>
      </c>
      <c r="BY18" s="1">
        <v>61</v>
      </c>
      <c r="BZ18" s="1">
        <v>62</v>
      </c>
      <c r="CA18" s="1">
        <v>63</v>
      </c>
      <c r="CB18" s="1">
        <v>64</v>
      </c>
    </row>
    <row r="19" spans="10:80" x14ac:dyDescent="0.25">
      <c r="O19" s="1" t="s">
        <v>0</v>
      </c>
    </row>
    <row r="20" spans="10:80" x14ac:dyDescent="0.25">
      <c r="M20">
        <f>SUM(P20:CA20)</f>
        <v>0</v>
      </c>
      <c r="O20" s="1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</row>
    <row r="21" spans="10:80" x14ac:dyDescent="0.25">
      <c r="J21">
        <f>1/64</f>
        <v>1.5625E-2</v>
      </c>
      <c r="L21">
        <f>64/O21</f>
        <v>64</v>
      </c>
      <c r="M21">
        <f>SUM(P21:CA21)</f>
        <v>1</v>
      </c>
      <c r="N21">
        <f>ROUND(L21*M21,0)</f>
        <v>64</v>
      </c>
      <c r="O21" s="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</row>
    <row r="22" spans="10:80" x14ac:dyDescent="0.25">
      <c r="L22">
        <f>64/O22</f>
        <v>32</v>
      </c>
      <c r="M22">
        <f>SUM(P22:CA22)</f>
        <v>2</v>
      </c>
      <c r="N22">
        <f t="shared" ref="N22:N84" si="0">ROUND(L22*M22,0)</f>
        <v>64</v>
      </c>
      <c r="O22" s="1">
        <v>2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</row>
    <row r="23" spans="10:80" x14ac:dyDescent="0.25">
      <c r="L23">
        <f>64/O23</f>
        <v>21.333333333333332</v>
      </c>
      <c r="M23">
        <f>SUM(P23:CA23)</f>
        <v>3</v>
      </c>
      <c r="N23">
        <f t="shared" si="0"/>
        <v>64</v>
      </c>
      <c r="O23" s="1">
        <v>3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</row>
    <row r="24" spans="10:80" x14ac:dyDescent="0.25">
      <c r="L24">
        <f>64/O24</f>
        <v>16</v>
      </c>
      <c r="M24">
        <f>SUM(P24:CA24)</f>
        <v>4</v>
      </c>
      <c r="N24">
        <f t="shared" si="0"/>
        <v>64</v>
      </c>
      <c r="O24" s="1">
        <v>4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</row>
    <row r="25" spans="10:80" x14ac:dyDescent="0.25">
      <c r="L25">
        <f>64/O25</f>
        <v>12.8</v>
      </c>
      <c r="M25">
        <f>SUM(P25:CA25)</f>
        <v>1</v>
      </c>
      <c r="N25">
        <f t="shared" si="0"/>
        <v>13</v>
      </c>
      <c r="O25" s="1">
        <v>5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</row>
    <row r="26" spans="10:80" x14ac:dyDescent="0.25">
      <c r="L26">
        <f>64/O26</f>
        <v>10.666666666666666</v>
      </c>
      <c r="M26">
        <f>SUM(P26:CA26)</f>
        <v>1</v>
      </c>
      <c r="N26">
        <f t="shared" si="0"/>
        <v>11</v>
      </c>
      <c r="O26" s="1">
        <v>6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</row>
    <row r="27" spans="10:80" x14ac:dyDescent="0.25">
      <c r="L27">
        <f>64/O27</f>
        <v>9.1428571428571423</v>
      </c>
      <c r="M27">
        <f>SUM(P27:CA27)</f>
        <v>1</v>
      </c>
      <c r="N27">
        <f t="shared" si="0"/>
        <v>9</v>
      </c>
      <c r="O27" s="1">
        <v>7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</row>
    <row r="28" spans="10:80" x14ac:dyDescent="0.25">
      <c r="L28">
        <f>64/O28</f>
        <v>8</v>
      </c>
      <c r="M28">
        <f>SUM(P28:CA28)</f>
        <v>1</v>
      </c>
      <c r="N28">
        <f t="shared" si="0"/>
        <v>8</v>
      </c>
      <c r="O28" s="1">
        <v>8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</row>
    <row r="29" spans="10:80" x14ac:dyDescent="0.25">
      <c r="L29">
        <f>64/O29</f>
        <v>7.1111111111111107</v>
      </c>
      <c r="M29">
        <f>SUM(P29:CA29)</f>
        <v>2</v>
      </c>
      <c r="N29">
        <f t="shared" si="0"/>
        <v>14</v>
      </c>
      <c r="O29" s="1">
        <v>9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</row>
    <row r="30" spans="10:80" x14ac:dyDescent="0.25">
      <c r="L30">
        <f>64/O30</f>
        <v>6.4</v>
      </c>
      <c r="M30">
        <f>SUM(P30:CA30)</f>
        <v>2</v>
      </c>
      <c r="N30">
        <f t="shared" si="0"/>
        <v>13</v>
      </c>
      <c r="O30" s="1">
        <v>10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</row>
    <row r="31" spans="10:80" x14ac:dyDescent="0.25">
      <c r="L31">
        <f>64/O31</f>
        <v>5.8181818181818183</v>
      </c>
      <c r="M31">
        <f>SUM(P31:CA31)</f>
        <v>2</v>
      </c>
      <c r="N31">
        <f t="shared" si="0"/>
        <v>12</v>
      </c>
      <c r="O31" s="1">
        <v>11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</row>
    <row r="32" spans="10:80" x14ac:dyDescent="0.25">
      <c r="L32">
        <f>64/O32</f>
        <v>5.333333333333333</v>
      </c>
      <c r="M32">
        <f>SUM(P32:CA32)</f>
        <v>2</v>
      </c>
      <c r="N32">
        <f t="shared" si="0"/>
        <v>11</v>
      </c>
      <c r="O32" s="1">
        <v>12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</row>
    <row r="33" spans="12:79" x14ac:dyDescent="0.25">
      <c r="L33">
        <f>64/O33</f>
        <v>4.9230769230769234</v>
      </c>
      <c r="M33">
        <f>SUM(P33:CA33)</f>
        <v>2</v>
      </c>
      <c r="N33">
        <f t="shared" si="0"/>
        <v>10</v>
      </c>
      <c r="O33" s="1">
        <v>13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</row>
    <row r="34" spans="12:79" x14ac:dyDescent="0.25">
      <c r="L34">
        <f>64/O34</f>
        <v>4.5714285714285712</v>
      </c>
      <c r="M34">
        <f>SUM(P34:CA34)</f>
        <v>2</v>
      </c>
      <c r="N34">
        <f t="shared" si="0"/>
        <v>9</v>
      </c>
      <c r="O34" s="1">
        <v>14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</row>
    <row r="35" spans="12:79" x14ac:dyDescent="0.25">
      <c r="L35">
        <f>64/O35</f>
        <v>4.2666666666666666</v>
      </c>
      <c r="M35">
        <f>SUM(P35:CA35)</f>
        <v>2</v>
      </c>
      <c r="N35">
        <f t="shared" si="0"/>
        <v>9</v>
      </c>
      <c r="O35" s="1">
        <v>15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</row>
    <row r="36" spans="12:79" x14ac:dyDescent="0.25">
      <c r="L36">
        <f>64/O36</f>
        <v>4</v>
      </c>
      <c r="M36">
        <f>SUM(P36:CA36)</f>
        <v>2</v>
      </c>
      <c r="N36">
        <f t="shared" si="0"/>
        <v>8</v>
      </c>
      <c r="O36" s="1">
        <v>16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</row>
    <row r="37" spans="12:79" x14ac:dyDescent="0.25">
      <c r="L37">
        <f>64/O37</f>
        <v>3.7647058823529411</v>
      </c>
      <c r="M37">
        <f>SUM(P37:CA37)</f>
        <v>2</v>
      </c>
      <c r="N37">
        <f t="shared" si="0"/>
        <v>8</v>
      </c>
      <c r="O37" s="1">
        <v>17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</row>
    <row r="38" spans="12:79" x14ac:dyDescent="0.25">
      <c r="L38">
        <f>64/O38</f>
        <v>3.5555555555555554</v>
      </c>
      <c r="M38">
        <f>SUM(P38:CA38)</f>
        <v>2</v>
      </c>
      <c r="N38">
        <f t="shared" si="0"/>
        <v>7</v>
      </c>
      <c r="O38" s="1">
        <v>18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</row>
    <row r="39" spans="12:79" x14ac:dyDescent="0.25">
      <c r="L39">
        <f>64/O39</f>
        <v>3.3684210526315788</v>
      </c>
      <c r="M39">
        <f>SUM(P39:CA39)</f>
        <v>2</v>
      </c>
      <c r="N39">
        <f t="shared" si="0"/>
        <v>7</v>
      </c>
      <c r="O39" s="1">
        <v>19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</row>
    <row r="40" spans="12:79" x14ac:dyDescent="0.25">
      <c r="L40">
        <f>64/O40</f>
        <v>3.2</v>
      </c>
      <c r="M40">
        <f>SUM(P40:CA40)</f>
        <v>2</v>
      </c>
      <c r="N40">
        <f t="shared" si="0"/>
        <v>6</v>
      </c>
      <c r="O40" s="1">
        <v>20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</row>
    <row r="41" spans="12:79" x14ac:dyDescent="0.25">
      <c r="L41">
        <f>64/O41</f>
        <v>3.0476190476190474</v>
      </c>
      <c r="M41">
        <f>SUM(P41:CA41)</f>
        <v>2</v>
      </c>
      <c r="N41">
        <f t="shared" si="0"/>
        <v>6</v>
      </c>
      <c r="O41" s="1">
        <v>21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</row>
    <row r="42" spans="12:79" x14ac:dyDescent="0.25">
      <c r="L42">
        <f>64/O42</f>
        <v>2.9090909090909092</v>
      </c>
      <c r="M42">
        <f>SUM(P42:CA42)</f>
        <v>2</v>
      </c>
      <c r="N42">
        <f t="shared" si="0"/>
        <v>6</v>
      </c>
      <c r="O42" s="1">
        <v>22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</row>
    <row r="43" spans="12:79" x14ac:dyDescent="0.25">
      <c r="L43">
        <f>64/O43</f>
        <v>2.7826086956521738</v>
      </c>
      <c r="M43">
        <f>SUM(P43:CA43)</f>
        <v>2</v>
      </c>
      <c r="N43">
        <f t="shared" si="0"/>
        <v>6</v>
      </c>
      <c r="O43" s="1">
        <v>23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</row>
    <row r="44" spans="12:79" x14ac:dyDescent="0.25">
      <c r="L44">
        <f>64/O44</f>
        <v>2.6666666666666665</v>
      </c>
      <c r="M44">
        <f>SUM(P44:CA44)</f>
        <v>2</v>
      </c>
      <c r="N44">
        <f t="shared" si="0"/>
        <v>5</v>
      </c>
      <c r="O44" s="1">
        <v>24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</row>
    <row r="45" spans="12:79" x14ac:dyDescent="0.25">
      <c r="L45">
        <f>64/O45</f>
        <v>2.56</v>
      </c>
      <c r="M45">
        <f>SUM(P45:CA45)</f>
        <v>2</v>
      </c>
      <c r="N45">
        <f t="shared" si="0"/>
        <v>5</v>
      </c>
      <c r="O45" s="1">
        <v>25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</row>
    <row r="46" spans="12:79" x14ac:dyDescent="0.25">
      <c r="L46">
        <f>64/O46</f>
        <v>2.4615384615384617</v>
      </c>
      <c r="M46">
        <f>SUM(P46:CA46)</f>
        <v>2</v>
      </c>
      <c r="N46">
        <f t="shared" si="0"/>
        <v>5</v>
      </c>
      <c r="O46" s="1">
        <v>26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</row>
    <row r="47" spans="12:79" x14ac:dyDescent="0.25">
      <c r="L47">
        <f>64/O47</f>
        <v>2.3703703703703702</v>
      </c>
      <c r="M47">
        <f>SUM(P47:CA47)</f>
        <v>2</v>
      </c>
      <c r="N47">
        <f t="shared" si="0"/>
        <v>5</v>
      </c>
      <c r="O47" s="1">
        <v>27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</row>
    <row r="48" spans="12:79" x14ac:dyDescent="0.25">
      <c r="L48">
        <f>64/O48</f>
        <v>2.2857142857142856</v>
      </c>
      <c r="M48">
        <f>SUM(P48:CA48)</f>
        <v>2</v>
      </c>
      <c r="N48">
        <f t="shared" si="0"/>
        <v>5</v>
      </c>
      <c r="O48" s="1">
        <v>28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</row>
    <row r="49" spans="12:79" x14ac:dyDescent="0.25">
      <c r="L49">
        <f>64/O49</f>
        <v>2.2068965517241379</v>
      </c>
      <c r="M49">
        <f>SUM(P49:CA49)</f>
        <v>2</v>
      </c>
      <c r="N49">
        <f t="shared" si="0"/>
        <v>4</v>
      </c>
      <c r="O49" s="1">
        <v>29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</row>
    <row r="50" spans="12:79" x14ac:dyDescent="0.25">
      <c r="L50">
        <f>64/O50</f>
        <v>2.1333333333333333</v>
      </c>
      <c r="M50">
        <f>SUM(P50:CA50)</f>
        <v>2</v>
      </c>
      <c r="N50">
        <f t="shared" si="0"/>
        <v>4</v>
      </c>
      <c r="O50" s="1">
        <v>30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</row>
    <row r="51" spans="12:79" x14ac:dyDescent="0.25">
      <c r="L51">
        <f>64/O51</f>
        <v>2.064516129032258</v>
      </c>
      <c r="M51">
        <f>SUM(P51:CA51)</f>
        <v>2</v>
      </c>
      <c r="N51">
        <f t="shared" si="0"/>
        <v>4</v>
      </c>
      <c r="O51" s="1">
        <v>31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</row>
    <row r="52" spans="12:79" x14ac:dyDescent="0.25">
      <c r="L52">
        <f>64/O52</f>
        <v>2</v>
      </c>
      <c r="M52">
        <f>SUM(P52:CA52)</f>
        <v>2</v>
      </c>
      <c r="N52">
        <f t="shared" si="0"/>
        <v>4</v>
      </c>
      <c r="O52" s="1">
        <v>32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</row>
    <row r="53" spans="12:79" x14ac:dyDescent="0.25">
      <c r="L53">
        <f>64/O53</f>
        <v>1.9393939393939394</v>
      </c>
      <c r="M53">
        <f>SUM(P53:CA53)</f>
        <v>2</v>
      </c>
      <c r="N53">
        <f t="shared" si="0"/>
        <v>4</v>
      </c>
      <c r="O53" s="1">
        <v>33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</row>
    <row r="54" spans="12:79" x14ac:dyDescent="0.25">
      <c r="L54">
        <f>64/O54</f>
        <v>1.8823529411764706</v>
      </c>
      <c r="M54">
        <f>SUM(P54:CA54)</f>
        <v>2</v>
      </c>
      <c r="N54">
        <f t="shared" si="0"/>
        <v>4</v>
      </c>
      <c r="O54" s="1">
        <v>34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2:79" x14ac:dyDescent="0.25">
      <c r="L55">
        <f>64/O55</f>
        <v>1.8285714285714285</v>
      </c>
      <c r="M55">
        <f>SUM(P55:CA55)</f>
        <v>2</v>
      </c>
      <c r="N55">
        <f t="shared" si="0"/>
        <v>4</v>
      </c>
      <c r="O55" s="1">
        <v>35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</row>
    <row r="56" spans="12:79" x14ac:dyDescent="0.25">
      <c r="L56">
        <f>64/O56</f>
        <v>1.7777777777777777</v>
      </c>
      <c r="M56">
        <f>SUM(P56:CA56)</f>
        <v>2</v>
      </c>
      <c r="N56">
        <f t="shared" si="0"/>
        <v>4</v>
      </c>
      <c r="O56" s="1">
        <v>36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</row>
    <row r="57" spans="12:79" x14ac:dyDescent="0.25">
      <c r="L57">
        <f>64/O57</f>
        <v>1.7297297297297298</v>
      </c>
      <c r="M57">
        <f>SUM(P57:CA57)</f>
        <v>3</v>
      </c>
      <c r="N57">
        <f t="shared" si="0"/>
        <v>5</v>
      </c>
      <c r="O57" s="1">
        <v>37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</row>
    <row r="58" spans="12:79" x14ac:dyDescent="0.25">
      <c r="L58">
        <f>64/O58</f>
        <v>1.6842105263157894</v>
      </c>
      <c r="M58">
        <f>SUM(P58:CA58)</f>
        <v>3</v>
      </c>
      <c r="N58">
        <f t="shared" si="0"/>
        <v>5</v>
      </c>
      <c r="O58" s="1">
        <v>38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</row>
    <row r="59" spans="12:79" x14ac:dyDescent="0.25">
      <c r="L59">
        <f>64/O59</f>
        <v>1.641025641025641</v>
      </c>
      <c r="M59">
        <f>SUM(P59:CA59)</f>
        <v>3</v>
      </c>
      <c r="N59">
        <f t="shared" si="0"/>
        <v>5</v>
      </c>
      <c r="O59" s="1">
        <v>39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</row>
    <row r="60" spans="12:79" x14ac:dyDescent="0.25">
      <c r="L60">
        <f>64/O60</f>
        <v>1.6</v>
      </c>
      <c r="M60">
        <f>SUM(P60:CA60)</f>
        <v>3</v>
      </c>
      <c r="N60">
        <f t="shared" si="0"/>
        <v>5</v>
      </c>
      <c r="O60" s="1">
        <v>40</v>
      </c>
      <c r="P60">
        <v>1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</row>
    <row r="61" spans="12:79" x14ac:dyDescent="0.25">
      <c r="L61">
        <f>64/O61</f>
        <v>1.5609756097560976</v>
      </c>
      <c r="M61">
        <f>SUM(P61:CA61)</f>
        <v>3</v>
      </c>
      <c r="N61">
        <f t="shared" si="0"/>
        <v>5</v>
      </c>
      <c r="O61" s="1">
        <v>41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</row>
    <row r="62" spans="12:79" x14ac:dyDescent="0.25">
      <c r="L62">
        <f>64/O62</f>
        <v>1.5238095238095237</v>
      </c>
      <c r="M62">
        <f>SUM(P62:CA62)</f>
        <v>3</v>
      </c>
      <c r="N62">
        <f t="shared" si="0"/>
        <v>5</v>
      </c>
      <c r="O62" s="1">
        <v>42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</row>
    <row r="63" spans="12:79" x14ac:dyDescent="0.25">
      <c r="L63">
        <f>64/O63</f>
        <v>1.4883720930232558</v>
      </c>
      <c r="M63">
        <f>SUM(P63:CA63)</f>
        <v>4</v>
      </c>
      <c r="N63">
        <f t="shared" si="0"/>
        <v>6</v>
      </c>
      <c r="O63" s="1">
        <v>43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</row>
    <row r="64" spans="12:79" x14ac:dyDescent="0.25">
      <c r="L64">
        <f>64/O64</f>
        <v>1.4545454545454546</v>
      </c>
      <c r="M64">
        <f>SUM(P64:CA64)</f>
        <v>4</v>
      </c>
      <c r="N64">
        <f t="shared" si="0"/>
        <v>6</v>
      </c>
      <c r="O64" s="1">
        <v>44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</row>
    <row r="65" spans="12:79" x14ac:dyDescent="0.25">
      <c r="L65">
        <f>64/O65</f>
        <v>1.4222222222222223</v>
      </c>
      <c r="M65">
        <f>SUM(P65:CA65)</f>
        <v>4</v>
      </c>
      <c r="N65">
        <f t="shared" si="0"/>
        <v>6</v>
      </c>
      <c r="O65" s="1">
        <v>45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</row>
    <row r="66" spans="12:79" x14ac:dyDescent="0.25">
      <c r="L66">
        <f>64/O66</f>
        <v>1.3913043478260869</v>
      </c>
      <c r="M66">
        <f>SUM(P66:CA66)</f>
        <v>4</v>
      </c>
      <c r="N66">
        <f t="shared" si="0"/>
        <v>6</v>
      </c>
      <c r="O66" s="1">
        <v>46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</row>
    <row r="67" spans="12:79" x14ac:dyDescent="0.25">
      <c r="L67">
        <f>64/O67</f>
        <v>1.3617021276595744</v>
      </c>
      <c r="M67">
        <f>SUM(P67:CA67)</f>
        <v>4</v>
      </c>
      <c r="N67">
        <f t="shared" si="0"/>
        <v>5</v>
      </c>
      <c r="O67" s="1">
        <v>47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</row>
    <row r="68" spans="12:79" x14ac:dyDescent="0.25">
      <c r="L68">
        <f>64/O68</f>
        <v>1.3333333333333333</v>
      </c>
      <c r="M68">
        <f>SUM(P68:CA68)</f>
        <v>4</v>
      </c>
      <c r="N68">
        <f t="shared" si="0"/>
        <v>5</v>
      </c>
      <c r="O68" s="1">
        <v>48</v>
      </c>
      <c r="P68">
        <v>1</v>
      </c>
      <c r="Q68">
        <v>1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</row>
    <row r="69" spans="12:79" x14ac:dyDescent="0.25">
      <c r="L69">
        <f>64/O69</f>
        <v>1.3061224489795917</v>
      </c>
      <c r="M69">
        <f>SUM(P69:CA69)</f>
        <v>4</v>
      </c>
      <c r="N69">
        <f t="shared" si="0"/>
        <v>5</v>
      </c>
      <c r="O69" s="1">
        <v>49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</row>
    <row r="70" spans="12:79" x14ac:dyDescent="0.25">
      <c r="L70">
        <f>64/O70</f>
        <v>1.28</v>
      </c>
      <c r="M70">
        <f>SUM(P70:CA70)</f>
        <v>4</v>
      </c>
      <c r="N70">
        <f t="shared" si="0"/>
        <v>5</v>
      </c>
      <c r="O70" s="1">
        <v>50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</row>
    <row r="71" spans="12:79" x14ac:dyDescent="0.25">
      <c r="L71">
        <f>64/O71</f>
        <v>1.2549019607843137</v>
      </c>
      <c r="M71">
        <f>SUM(P71:CA71)</f>
        <v>4</v>
      </c>
      <c r="N71">
        <f t="shared" si="0"/>
        <v>5</v>
      </c>
      <c r="O71" s="1">
        <v>51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</row>
    <row r="72" spans="12:79" x14ac:dyDescent="0.25">
      <c r="L72">
        <f>64/O72</f>
        <v>1.2307692307692308</v>
      </c>
      <c r="M72">
        <f>SUM(P72:CA72)</f>
        <v>4</v>
      </c>
      <c r="N72">
        <f t="shared" si="0"/>
        <v>5</v>
      </c>
      <c r="O72" s="1">
        <v>52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</row>
    <row r="73" spans="12:79" x14ac:dyDescent="0.25">
      <c r="L73">
        <f>64/O73</f>
        <v>1.2075471698113207</v>
      </c>
      <c r="M73">
        <f>SUM(P73:CA73)</f>
        <v>4</v>
      </c>
      <c r="N73">
        <f t="shared" si="0"/>
        <v>5</v>
      </c>
      <c r="O73" s="1">
        <v>53</v>
      </c>
      <c r="P73">
        <v>1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</row>
    <row r="74" spans="12:79" x14ac:dyDescent="0.25">
      <c r="L74">
        <f>64/O74</f>
        <v>1.1851851851851851</v>
      </c>
      <c r="M74">
        <f>SUM(P74:CA74)</f>
        <v>4</v>
      </c>
      <c r="N74">
        <f t="shared" si="0"/>
        <v>5</v>
      </c>
      <c r="O74" s="1">
        <v>54</v>
      </c>
      <c r="P74">
        <v>1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</row>
    <row r="75" spans="12:79" x14ac:dyDescent="0.25">
      <c r="L75">
        <f>64/O75</f>
        <v>1.1636363636363636</v>
      </c>
      <c r="M75">
        <f>SUM(P75:CA75)</f>
        <v>4</v>
      </c>
      <c r="N75">
        <f t="shared" si="0"/>
        <v>5</v>
      </c>
      <c r="O75" s="1">
        <v>55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</row>
    <row r="76" spans="12:79" x14ac:dyDescent="0.25">
      <c r="L76">
        <f>64/O76</f>
        <v>1.1428571428571428</v>
      </c>
      <c r="M76">
        <f>SUM(P76:CA76)</f>
        <v>4</v>
      </c>
      <c r="N76">
        <f t="shared" si="0"/>
        <v>5</v>
      </c>
      <c r="O76" s="1">
        <v>56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</row>
    <row r="77" spans="12:79" x14ac:dyDescent="0.25">
      <c r="L77">
        <f>64/O77</f>
        <v>1.1228070175438596</v>
      </c>
      <c r="M77">
        <f>SUM(P77:CA77)</f>
        <v>5</v>
      </c>
      <c r="N77">
        <f t="shared" si="0"/>
        <v>6</v>
      </c>
      <c r="O77" s="1">
        <v>57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</row>
    <row r="78" spans="12:79" x14ac:dyDescent="0.25">
      <c r="L78">
        <f>64/O78</f>
        <v>1.103448275862069</v>
      </c>
      <c r="M78">
        <f>SUM(P78:CA78)</f>
        <v>5</v>
      </c>
      <c r="N78">
        <f t="shared" si="0"/>
        <v>6</v>
      </c>
      <c r="O78" s="1">
        <v>58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</row>
    <row r="79" spans="12:79" x14ac:dyDescent="0.25">
      <c r="L79">
        <f>64/O79</f>
        <v>1.0847457627118644</v>
      </c>
      <c r="M79">
        <f>SUM(P79:CA79)</f>
        <v>6</v>
      </c>
      <c r="N79">
        <f t="shared" si="0"/>
        <v>7</v>
      </c>
      <c r="O79" s="1">
        <v>59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</row>
    <row r="80" spans="12:79" x14ac:dyDescent="0.25">
      <c r="L80">
        <f>64/O80</f>
        <v>1.0666666666666667</v>
      </c>
      <c r="M80">
        <f>SUM(P80:CA80)</f>
        <v>6</v>
      </c>
      <c r="N80">
        <f t="shared" si="0"/>
        <v>6</v>
      </c>
      <c r="O80" s="1">
        <v>60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</row>
    <row r="81" spans="12:79" x14ac:dyDescent="0.25">
      <c r="L81">
        <f>64/O81</f>
        <v>1.0491803278688525</v>
      </c>
      <c r="M81">
        <f>SUM(P81:CA81)</f>
        <v>8</v>
      </c>
      <c r="N81">
        <f t="shared" si="0"/>
        <v>8</v>
      </c>
      <c r="O81" s="1">
        <v>61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</row>
    <row r="82" spans="12:79" x14ac:dyDescent="0.25">
      <c r="L82">
        <f>64/O82</f>
        <v>1.032258064516129</v>
      </c>
      <c r="M82">
        <f>SUM(P82:CA82)</f>
        <v>62</v>
      </c>
      <c r="N82">
        <f t="shared" si="0"/>
        <v>64</v>
      </c>
      <c r="O82" s="1">
        <v>62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</row>
    <row r="83" spans="12:79" x14ac:dyDescent="0.25">
      <c r="L83">
        <f>64/O83</f>
        <v>1.0158730158730158</v>
      </c>
      <c r="M83">
        <f>SUM(P83:CA83)</f>
        <v>63</v>
      </c>
      <c r="N83">
        <f t="shared" si="0"/>
        <v>64</v>
      </c>
      <c r="O83" s="1">
        <v>63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</row>
    <row r="84" spans="12:79" x14ac:dyDescent="0.25">
      <c r="L84">
        <f>64/O84</f>
        <v>1</v>
      </c>
      <c r="M84">
        <f>SUM(P84:CA84)</f>
        <v>64</v>
      </c>
      <c r="N84">
        <f t="shared" si="0"/>
        <v>64</v>
      </c>
      <c r="O84" s="1">
        <v>64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</row>
  </sheetData>
  <conditionalFormatting sqref="M20:M84">
    <cfRule type="cellIs" dxfId="2" priority="4" operator="equal">
      <formula>O20</formula>
    </cfRule>
  </conditionalFormatting>
  <conditionalFormatting sqref="P20:CA84">
    <cfRule type="cellIs" dxfId="1" priority="2" operator="equal">
      <formula>0</formula>
    </cfRule>
  </conditionalFormatting>
  <conditionalFormatting sqref="P21:CA84">
    <cfRule type="expression" dxfId="0" priority="1">
      <formula>$N21=P$18</formula>
    </cfRule>
  </conditionalFormatting>
  <pageMargins left="0.7" right="0.7" top="0.75" bottom="0.75" header="0.3" footer="0.3"/>
  <pageSetup paperSize="1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rmt_pr_buff</vt:lpstr>
    </vt:vector>
  </TitlesOfParts>
  <Company>Safe4 Security Group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Nicolaysen</dc:creator>
  <cp:lastModifiedBy>Jonas Nicolaysen</cp:lastModifiedBy>
  <dcterms:created xsi:type="dcterms:W3CDTF">2026-04-09T07:58:12Z</dcterms:created>
  <dcterms:modified xsi:type="dcterms:W3CDTF">2026-04-09T11:01:23Z</dcterms:modified>
</cp:coreProperties>
</file>