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n.safe4\Documents\PlatformIO\Projects\Dreimaskin_ELS\SW\ESP_ELS\tools\"/>
    </mc:Choice>
  </mc:AlternateContent>
  <xr:revisionPtr revIDLastSave="0" documentId="13_ncr:1_{CDABB93E-A06F-440D-99BC-CCE8DA0FD32B}" xr6:coauthVersionLast="47" xr6:coauthVersionMax="47" xr10:uidLastSave="{00000000-0000-0000-0000-000000000000}"/>
  <bookViews>
    <workbookView xWindow="38280" yWindow="3585" windowWidth="29040" windowHeight="17520" xr2:uid="{F3ED2C2D-2482-46EE-8404-115CC90F6E33}"/>
  </bookViews>
  <sheets>
    <sheet name="Sheet1" sheetId="1" r:id="rId1"/>
  </sheets>
  <definedNames>
    <definedName name="max_pulses_pr_rev">Sheet1!$M$10</definedName>
    <definedName name="MAXHz">Sheet1!$J$8</definedName>
    <definedName name="periode">Sheet1!$M$8</definedName>
    <definedName name="RPM">Sheet1!$J$9</definedName>
    <definedName name="RPS">Sheet1!$M$9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J13" i="1"/>
  <c r="J8" i="1" s="1"/>
  <c r="M8" i="1" s="1"/>
  <c r="G532" i="1" l="1"/>
  <c r="K30" i="1"/>
  <c r="K31" i="1"/>
  <c r="K32" i="1"/>
  <c r="K33" i="1"/>
  <c r="K34" i="1"/>
  <c r="K35" i="1"/>
  <c r="I35" i="1" s="1"/>
  <c r="K36" i="1"/>
  <c r="I36" i="1" s="1"/>
  <c r="K37" i="1"/>
  <c r="K38" i="1"/>
  <c r="K39" i="1"/>
  <c r="K40" i="1"/>
  <c r="K41" i="1"/>
  <c r="K42" i="1"/>
  <c r="K43" i="1"/>
  <c r="I43" i="1" s="1"/>
  <c r="K44" i="1"/>
  <c r="I44" i="1" s="1"/>
  <c r="K45" i="1"/>
  <c r="K46" i="1"/>
  <c r="K47" i="1"/>
  <c r="K48" i="1"/>
  <c r="K49" i="1"/>
  <c r="K50" i="1"/>
  <c r="K51" i="1"/>
  <c r="K52" i="1"/>
  <c r="I52" i="1" s="1"/>
  <c r="K53" i="1"/>
  <c r="K54" i="1"/>
  <c r="K55" i="1"/>
  <c r="K56" i="1"/>
  <c r="K57" i="1"/>
  <c r="K58" i="1"/>
  <c r="K59" i="1"/>
  <c r="K60" i="1"/>
  <c r="I60" i="1" s="1"/>
  <c r="K61" i="1"/>
  <c r="K62" i="1"/>
  <c r="K63" i="1"/>
  <c r="K64" i="1"/>
  <c r="K65" i="1"/>
  <c r="K66" i="1"/>
  <c r="K67" i="1"/>
  <c r="K68" i="1"/>
  <c r="I68" i="1" s="1"/>
  <c r="K69" i="1"/>
  <c r="K70" i="1"/>
  <c r="K71" i="1"/>
  <c r="K72" i="1"/>
  <c r="K73" i="1"/>
  <c r="K74" i="1"/>
  <c r="K75" i="1"/>
  <c r="K76" i="1"/>
  <c r="I76" i="1" s="1"/>
  <c r="K77" i="1"/>
  <c r="K78" i="1"/>
  <c r="K79" i="1"/>
  <c r="K80" i="1"/>
  <c r="K81" i="1"/>
  <c r="K82" i="1"/>
  <c r="K83" i="1"/>
  <c r="K84" i="1"/>
  <c r="I84" i="1" s="1"/>
  <c r="K85" i="1"/>
  <c r="K86" i="1"/>
  <c r="K87" i="1"/>
  <c r="K88" i="1"/>
  <c r="K89" i="1"/>
  <c r="K90" i="1"/>
  <c r="K91" i="1"/>
  <c r="K92" i="1"/>
  <c r="I92" i="1" s="1"/>
  <c r="K93" i="1"/>
  <c r="K94" i="1"/>
  <c r="K95" i="1"/>
  <c r="K96" i="1"/>
  <c r="K97" i="1"/>
  <c r="K98" i="1"/>
  <c r="K99" i="1"/>
  <c r="K100" i="1"/>
  <c r="I100" i="1" s="1"/>
  <c r="K101" i="1"/>
  <c r="K102" i="1"/>
  <c r="K103" i="1"/>
  <c r="K104" i="1"/>
  <c r="K105" i="1"/>
  <c r="K106" i="1"/>
  <c r="K107" i="1"/>
  <c r="K108" i="1"/>
  <c r="I108" i="1" s="1"/>
  <c r="K109" i="1"/>
  <c r="K110" i="1"/>
  <c r="K111" i="1"/>
  <c r="K112" i="1"/>
  <c r="K113" i="1"/>
  <c r="K114" i="1"/>
  <c r="K115" i="1"/>
  <c r="K116" i="1"/>
  <c r="I116" i="1" s="1"/>
  <c r="K117" i="1"/>
  <c r="K118" i="1"/>
  <c r="K119" i="1"/>
  <c r="K120" i="1"/>
  <c r="K121" i="1"/>
  <c r="K122" i="1"/>
  <c r="K123" i="1"/>
  <c r="K124" i="1"/>
  <c r="I124" i="1" s="1"/>
  <c r="K125" i="1"/>
  <c r="K126" i="1"/>
  <c r="K127" i="1"/>
  <c r="K128" i="1"/>
  <c r="K129" i="1"/>
  <c r="K130" i="1"/>
  <c r="K131" i="1"/>
  <c r="K132" i="1"/>
  <c r="I132" i="1" s="1"/>
  <c r="K133" i="1"/>
  <c r="K134" i="1"/>
  <c r="K135" i="1"/>
  <c r="K136" i="1"/>
  <c r="K137" i="1"/>
  <c r="K138" i="1"/>
  <c r="K139" i="1"/>
  <c r="K140" i="1"/>
  <c r="I140" i="1" s="1"/>
  <c r="K141" i="1"/>
  <c r="K142" i="1"/>
  <c r="K143" i="1"/>
  <c r="K144" i="1"/>
  <c r="K145" i="1"/>
  <c r="K146" i="1"/>
  <c r="K147" i="1"/>
  <c r="K148" i="1"/>
  <c r="I148" i="1" s="1"/>
  <c r="K149" i="1"/>
  <c r="K150" i="1"/>
  <c r="K151" i="1"/>
  <c r="K152" i="1"/>
  <c r="K153" i="1"/>
  <c r="K154" i="1"/>
  <c r="K155" i="1"/>
  <c r="K156" i="1"/>
  <c r="I156" i="1" s="1"/>
  <c r="K157" i="1"/>
  <c r="K158" i="1"/>
  <c r="K159" i="1"/>
  <c r="K160" i="1"/>
  <c r="K161" i="1"/>
  <c r="K162" i="1"/>
  <c r="K163" i="1"/>
  <c r="K164" i="1"/>
  <c r="I164" i="1" s="1"/>
  <c r="K165" i="1"/>
  <c r="K166" i="1"/>
  <c r="K167" i="1"/>
  <c r="K168" i="1"/>
  <c r="K169" i="1"/>
  <c r="K170" i="1"/>
  <c r="K171" i="1"/>
  <c r="K172" i="1"/>
  <c r="I172" i="1" s="1"/>
  <c r="K173" i="1"/>
  <c r="K174" i="1"/>
  <c r="K175" i="1"/>
  <c r="K176" i="1"/>
  <c r="K177" i="1"/>
  <c r="K178" i="1"/>
  <c r="K179" i="1"/>
  <c r="K180" i="1"/>
  <c r="I180" i="1" s="1"/>
  <c r="K181" i="1"/>
  <c r="K182" i="1"/>
  <c r="K183" i="1"/>
  <c r="K184" i="1"/>
  <c r="K185" i="1"/>
  <c r="K186" i="1"/>
  <c r="K187" i="1"/>
  <c r="K188" i="1"/>
  <c r="I188" i="1" s="1"/>
  <c r="K189" i="1"/>
  <c r="K190" i="1"/>
  <c r="K191" i="1"/>
  <c r="K192" i="1"/>
  <c r="K193" i="1"/>
  <c r="K194" i="1"/>
  <c r="K195" i="1"/>
  <c r="K196" i="1"/>
  <c r="I196" i="1" s="1"/>
  <c r="K197" i="1"/>
  <c r="K198" i="1"/>
  <c r="K199" i="1"/>
  <c r="K200" i="1"/>
  <c r="K201" i="1"/>
  <c r="K202" i="1"/>
  <c r="K203" i="1"/>
  <c r="K204" i="1"/>
  <c r="I204" i="1" s="1"/>
  <c r="K205" i="1"/>
  <c r="K206" i="1"/>
  <c r="K207" i="1"/>
  <c r="K208" i="1"/>
  <c r="K209" i="1"/>
  <c r="K210" i="1"/>
  <c r="K211" i="1"/>
  <c r="K212" i="1"/>
  <c r="I212" i="1" s="1"/>
  <c r="K213" i="1"/>
  <c r="K214" i="1"/>
  <c r="K215" i="1"/>
  <c r="K216" i="1"/>
  <c r="K217" i="1"/>
  <c r="K218" i="1"/>
  <c r="K219" i="1"/>
  <c r="K220" i="1"/>
  <c r="I220" i="1" s="1"/>
  <c r="K221" i="1"/>
  <c r="K222" i="1"/>
  <c r="K223" i="1"/>
  <c r="K224" i="1"/>
  <c r="K225" i="1"/>
  <c r="K226" i="1"/>
  <c r="K227" i="1"/>
  <c r="K228" i="1"/>
  <c r="I228" i="1" s="1"/>
  <c r="K229" i="1"/>
  <c r="K230" i="1"/>
  <c r="K231" i="1"/>
  <c r="K232" i="1"/>
  <c r="K233" i="1"/>
  <c r="K234" i="1"/>
  <c r="K235" i="1"/>
  <c r="K236" i="1"/>
  <c r="I236" i="1" s="1"/>
  <c r="K237" i="1"/>
  <c r="K238" i="1"/>
  <c r="K239" i="1"/>
  <c r="K240" i="1"/>
  <c r="K241" i="1"/>
  <c r="K242" i="1"/>
  <c r="K243" i="1"/>
  <c r="K244" i="1"/>
  <c r="I244" i="1" s="1"/>
  <c r="K245" i="1"/>
  <c r="K246" i="1"/>
  <c r="K247" i="1"/>
  <c r="K248" i="1"/>
  <c r="K249" i="1"/>
  <c r="K250" i="1"/>
  <c r="K251" i="1"/>
  <c r="K252" i="1"/>
  <c r="I252" i="1" s="1"/>
  <c r="K253" i="1"/>
  <c r="K254" i="1"/>
  <c r="K255" i="1"/>
  <c r="K256" i="1"/>
  <c r="K257" i="1"/>
  <c r="K258" i="1"/>
  <c r="K259" i="1"/>
  <c r="K260" i="1"/>
  <c r="I260" i="1" s="1"/>
  <c r="K261" i="1"/>
  <c r="K262" i="1"/>
  <c r="K263" i="1"/>
  <c r="K264" i="1"/>
  <c r="K265" i="1"/>
  <c r="K266" i="1"/>
  <c r="K267" i="1"/>
  <c r="K268" i="1"/>
  <c r="I268" i="1" s="1"/>
  <c r="K269" i="1"/>
  <c r="K270" i="1"/>
  <c r="K271" i="1"/>
  <c r="K272" i="1"/>
  <c r="K273" i="1"/>
  <c r="K274" i="1"/>
  <c r="K275" i="1"/>
  <c r="K276" i="1"/>
  <c r="I276" i="1" s="1"/>
  <c r="K277" i="1"/>
  <c r="K278" i="1"/>
  <c r="K279" i="1"/>
  <c r="K280" i="1"/>
  <c r="K281" i="1"/>
  <c r="K282" i="1"/>
  <c r="K283" i="1"/>
  <c r="K284" i="1"/>
  <c r="I284" i="1" s="1"/>
  <c r="K285" i="1"/>
  <c r="K286" i="1"/>
  <c r="K287" i="1"/>
  <c r="K288" i="1"/>
  <c r="K289" i="1"/>
  <c r="K290" i="1"/>
  <c r="K291" i="1"/>
  <c r="K292" i="1"/>
  <c r="I292" i="1" s="1"/>
  <c r="K293" i="1"/>
  <c r="K294" i="1"/>
  <c r="K295" i="1"/>
  <c r="K296" i="1"/>
  <c r="K297" i="1"/>
  <c r="K298" i="1"/>
  <c r="K299" i="1"/>
  <c r="K300" i="1"/>
  <c r="I300" i="1" s="1"/>
  <c r="K301" i="1"/>
  <c r="K302" i="1"/>
  <c r="K303" i="1"/>
  <c r="K304" i="1"/>
  <c r="K305" i="1"/>
  <c r="K306" i="1"/>
  <c r="K307" i="1"/>
  <c r="K308" i="1"/>
  <c r="I308" i="1" s="1"/>
  <c r="K309" i="1"/>
  <c r="K310" i="1"/>
  <c r="K311" i="1"/>
  <c r="K312" i="1"/>
  <c r="K313" i="1"/>
  <c r="K314" i="1"/>
  <c r="K315" i="1"/>
  <c r="K316" i="1"/>
  <c r="I316" i="1" s="1"/>
  <c r="K317" i="1"/>
  <c r="K318" i="1"/>
  <c r="K319" i="1"/>
  <c r="K320" i="1"/>
  <c r="K321" i="1"/>
  <c r="K322" i="1"/>
  <c r="K323" i="1"/>
  <c r="K324" i="1"/>
  <c r="I324" i="1" s="1"/>
  <c r="K325" i="1"/>
  <c r="K326" i="1"/>
  <c r="K327" i="1"/>
  <c r="K328" i="1"/>
  <c r="K329" i="1"/>
  <c r="K330" i="1"/>
  <c r="K331" i="1"/>
  <c r="K332" i="1"/>
  <c r="I332" i="1" s="1"/>
  <c r="K333" i="1"/>
  <c r="K334" i="1"/>
  <c r="K335" i="1"/>
  <c r="K336" i="1"/>
  <c r="K337" i="1"/>
  <c r="K338" i="1"/>
  <c r="K339" i="1"/>
  <c r="K340" i="1"/>
  <c r="I340" i="1" s="1"/>
  <c r="K341" i="1"/>
  <c r="K342" i="1"/>
  <c r="K343" i="1"/>
  <c r="K344" i="1"/>
  <c r="K345" i="1"/>
  <c r="K346" i="1"/>
  <c r="K347" i="1"/>
  <c r="K348" i="1"/>
  <c r="I348" i="1" s="1"/>
  <c r="K349" i="1"/>
  <c r="K350" i="1"/>
  <c r="K351" i="1"/>
  <c r="K352" i="1"/>
  <c r="K353" i="1"/>
  <c r="K354" i="1"/>
  <c r="K355" i="1"/>
  <c r="K356" i="1"/>
  <c r="I356" i="1" s="1"/>
  <c r="K357" i="1"/>
  <c r="K358" i="1"/>
  <c r="K359" i="1"/>
  <c r="K360" i="1"/>
  <c r="K361" i="1"/>
  <c r="K362" i="1"/>
  <c r="K363" i="1"/>
  <c r="K364" i="1"/>
  <c r="I364" i="1" s="1"/>
  <c r="K365" i="1"/>
  <c r="K366" i="1"/>
  <c r="K367" i="1"/>
  <c r="K368" i="1"/>
  <c r="K369" i="1"/>
  <c r="K370" i="1"/>
  <c r="K371" i="1"/>
  <c r="K372" i="1"/>
  <c r="I372" i="1" s="1"/>
  <c r="K373" i="1"/>
  <c r="K374" i="1"/>
  <c r="K375" i="1"/>
  <c r="K376" i="1"/>
  <c r="K377" i="1"/>
  <c r="K378" i="1"/>
  <c r="K379" i="1"/>
  <c r="K380" i="1"/>
  <c r="I380" i="1" s="1"/>
  <c r="K381" i="1"/>
  <c r="K382" i="1"/>
  <c r="K383" i="1"/>
  <c r="K384" i="1"/>
  <c r="K385" i="1"/>
  <c r="K386" i="1"/>
  <c r="K387" i="1"/>
  <c r="K388" i="1"/>
  <c r="I388" i="1" s="1"/>
  <c r="K389" i="1"/>
  <c r="K390" i="1"/>
  <c r="K391" i="1"/>
  <c r="K392" i="1"/>
  <c r="K393" i="1"/>
  <c r="K394" i="1"/>
  <c r="K395" i="1"/>
  <c r="K396" i="1"/>
  <c r="I396" i="1" s="1"/>
  <c r="K397" i="1"/>
  <c r="K398" i="1"/>
  <c r="K399" i="1"/>
  <c r="K400" i="1"/>
  <c r="K401" i="1"/>
  <c r="K402" i="1"/>
  <c r="K403" i="1"/>
  <c r="K404" i="1"/>
  <c r="I404" i="1" s="1"/>
  <c r="K405" i="1"/>
  <c r="K406" i="1"/>
  <c r="K407" i="1"/>
  <c r="K408" i="1"/>
  <c r="K409" i="1"/>
  <c r="K410" i="1"/>
  <c r="K411" i="1"/>
  <c r="K412" i="1"/>
  <c r="I412" i="1" s="1"/>
  <c r="K413" i="1"/>
  <c r="K414" i="1"/>
  <c r="K415" i="1"/>
  <c r="K416" i="1"/>
  <c r="K417" i="1"/>
  <c r="K418" i="1"/>
  <c r="K419" i="1"/>
  <c r="K420" i="1"/>
  <c r="I420" i="1" s="1"/>
  <c r="K421" i="1"/>
  <c r="K422" i="1"/>
  <c r="K423" i="1"/>
  <c r="K424" i="1"/>
  <c r="K425" i="1"/>
  <c r="K426" i="1"/>
  <c r="K427" i="1"/>
  <c r="K428" i="1"/>
  <c r="I428" i="1" s="1"/>
  <c r="K429" i="1"/>
  <c r="K430" i="1"/>
  <c r="K431" i="1"/>
  <c r="K432" i="1"/>
  <c r="K433" i="1"/>
  <c r="K434" i="1"/>
  <c r="K435" i="1"/>
  <c r="K436" i="1"/>
  <c r="I436" i="1" s="1"/>
  <c r="K437" i="1"/>
  <c r="K438" i="1"/>
  <c r="K439" i="1"/>
  <c r="K440" i="1"/>
  <c r="K441" i="1"/>
  <c r="K442" i="1"/>
  <c r="K443" i="1"/>
  <c r="K444" i="1"/>
  <c r="I444" i="1" s="1"/>
  <c r="K445" i="1"/>
  <c r="K446" i="1"/>
  <c r="K447" i="1"/>
  <c r="K448" i="1"/>
  <c r="K449" i="1"/>
  <c r="K450" i="1"/>
  <c r="K451" i="1"/>
  <c r="K452" i="1"/>
  <c r="I452" i="1" s="1"/>
  <c r="K453" i="1"/>
  <c r="K454" i="1"/>
  <c r="K455" i="1"/>
  <c r="K456" i="1"/>
  <c r="K457" i="1"/>
  <c r="K458" i="1"/>
  <c r="K459" i="1"/>
  <c r="K460" i="1"/>
  <c r="I460" i="1" s="1"/>
  <c r="K461" i="1"/>
  <c r="K462" i="1"/>
  <c r="K463" i="1"/>
  <c r="K464" i="1"/>
  <c r="K465" i="1"/>
  <c r="K466" i="1"/>
  <c r="K467" i="1"/>
  <c r="K468" i="1"/>
  <c r="I468" i="1" s="1"/>
  <c r="K469" i="1"/>
  <c r="K470" i="1"/>
  <c r="K471" i="1"/>
  <c r="K472" i="1"/>
  <c r="K473" i="1"/>
  <c r="K474" i="1"/>
  <c r="K475" i="1"/>
  <c r="K476" i="1"/>
  <c r="I476" i="1" s="1"/>
  <c r="K477" i="1"/>
  <c r="K478" i="1"/>
  <c r="K479" i="1"/>
  <c r="K480" i="1"/>
  <c r="K481" i="1"/>
  <c r="K482" i="1"/>
  <c r="K483" i="1"/>
  <c r="K484" i="1"/>
  <c r="I484" i="1" s="1"/>
  <c r="K485" i="1"/>
  <c r="K486" i="1"/>
  <c r="K487" i="1"/>
  <c r="K488" i="1"/>
  <c r="K489" i="1"/>
  <c r="K490" i="1"/>
  <c r="K491" i="1"/>
  <c r="K492" i="1"/>
  <c r="I492" i="1" s="1"/>
  <c r="K493" i="1"/>
  <c r="K494" i="1"/>
  <c r="K495" i="1"/>
  <c r="K496" i="1"/>
  <c r="K497" i="1"/>
  <c r="K498" i="1"/>
  <c r="K499" i="1"/>
  <c r="K500" i="1"/>
  <c r="I500" i="1" s="1"/>
  <c r="K501" i="1"/>
  <c r="K502" i="1"/>
  <c r="K503" i="1"/>
  <c r="K504" i="1"/>
  <c r="K505" i="1"/>
  <c r="K506" i="1"/>
  <c r="K507" i="1"/>
  <c r="K508" i="1"/>
  <c r="I508" i="1" s="1"/>
  <c r="K509" i="1"/>
  <c r="K510" i="1"/>
  <c r="K511" i="1"/>
  <c r="K512" i="1"/>
  <c r="K513" i="1"/>
  <c r="K514" i="1"/>
  <c r="K515" i="1"/>
  <c r="K516" i="1"/>
  <c r="I516" i="1" s="1"/>
  <c r="K517" i="1"/>
  <c r="K518" i="1"/>
  <c r="K519" i="1"/>
  <c r="K520" i="1"/>
  <c r="K521" i="1"/>
  <c r="K522" i="1"/>
  <c r="K523" i="1"/>
  <c r="K524" i="1"/>
  <c r="I524" i="1" s="1"/>
  <c r="K525" i="1"/>
  <c r="K526" i="1"/>
  <c r="K527" i="1"/>
  <c r="K528" i="1"/>
  <c r="K29" i="1"/>
  <c r="I29" i="1" s="1"/>
  <c r="I30" i="1"/>
  <c r="I31" i="1"/>
  <c r="I32" i="1"/>
  <c r="I33" i="1"/>
  <c r="I34" i="1"/>
  <c r="I37" i="1"/>
  <c r="I38" i="1"/>
  <c r="I39" i="1"/>
  <c r="I40" i="1"/>
  <c r="I41" i="1"/>
  <c r="I42" i="1"/>
  <c r="I45" i="1"/>
  <c r="I46" i="1"/>
  <c r="I47" i="1"/>
  <c r="I48" i="1"/>
  <c r="I49" i="1"/>
  <c r="I50" i="1"/>
  <c r="I51" i="1"/>
  <c r="I53" i="1"/>
  <c r="I54" i="1"/>
  <c r="I55" i="1"/>
  <c r="I56" i="1"/>
  <c r="I57" i="1"/>
  <c r="I58" i="1"/>
  <c r="I59" i="1"/>
  <c r="I61" i="1"/>
  <c r="I62" i="1"/>
  <c r="I63" i="1"/>
  <c r="I64" i="1"/>
  <c r="I65" i="1"/>
  <c r="I66" i="1"/>
  <c r="I67" i="1"/>
  <c r="I69" i="1"/>
  <c r="I70" i="1"/>
  <c r="I71" i="1"/>
  <c r="I72" i="1"/>
  <c r="I73" i="1"/>
  <c r="I74" i="1"/>
  <c r="I75" i="1"/>
  <c r="I77" i="1"/>
  <c r="I78" i="1"/>
  <c r="I79" i="1"/>
  <c r="I80" i="1"/>
  <c r="I81" i="1"/>
  <c r="I82" i="1"/>
  <c r="I83" i="1"/>
  <c r="I85" i="1"/>
  <c r="I86" i="1"/>
  <c r="I87" i="1"/>
  <c r="I88" i="1"/>
  <c r="I89" i="1"/>
  <c r="I90" i="1"/>
  <c r="I91" i="1"/>
  <c r="I93" i="1"/>
  <c r="I94" i="1"/>
  <c r="I95" i="1"/>
  <c r="I96" i="1"/>
  <c r="I97" i="1"/>
  <c r="I98" i="1"/>
  <c r="I99" i="1"/>
  <c r="I101" i="1"/>
  <c r="I102" i="1"/>
  <c r="I103" i="1"/>
  <c r="I104" i="1"/>
  <c r="I105" i="1"/>
  <c r="I106" i="1"/>
  <c r="I107" i="1"/>
  <c r="I109" i="1"/>
  <c r="I110" i="1"/>
  <c r="I111" i="1"/>
  <c r="I112" i="1"/>
  <c r="I113" i="1"/>
  <c r="I114" i="1"/>
  <c r="I115" i="1"/>
  <c r="I117" i="1"/>
  <c r="I118" i="1"/>
  <c r="I119" i="1"/>
  <c r="I120" i="1"/>
  <c r="I121" i="1"/>
  <c r="I122" i="1"/>
  <c r="I123" i="1"/>
  <c r="I125" i="1"/>
  <c r="I126" i="1"/>
  <c r="I127" i="1"/>
  <c r="I128" i="1"/>
  <c r="I129" i="1"/>
  <c r="I130" i="1"/>
  <c r="I131" i="1"/>
  <c r="I133" i="1"/>
  <c r="I134" i="1"/>
  <c r="I135" i="1"/>
  <c r="I136" i="1"/>
  <c r="I137" i="1"/>
  <c r="I138" i="1"/>
  <c r="I139" i="1"/>
  <c r="I141" i="1"/>
  <c r="I142" i="1"/>
  <c r="I143" i="1"/>
  <c r="I144" i="1"/>
  <c r="I145" i="1"/>
  <c r="I146" i="1"/>
  <c r="I147" i="1"/>
  <c r="I149" i="1"/>
  <c r="I150" i="1"/>
  <c r="I151" i="1"/>
  <c r="I152" i="1"/>
  <c r="I153" i="1"/>
  <c r="I154" i="1"/>
  <c r="I155" i="1"/>
  <c r="I157" i="1"/>
  <c r="I158" i="1"/>
  <c r="I159" i="1"/>
  <c r="I160" i="1"/>
  <c r="I161" i="1"/>
  <c r="I162" i="1"/>
  <c r="I163" i="1"/>
  <c r="I165" i="1"/>
  <c r="I166" i="1"/>
  <c r="I167" i="1"/>
  <c r="I168" i="1"/>
  <c r="I169" i="1"/>
  <c r="I170" i="1"/>
  <c r="I171" i="1"/>
  <c r="I173" i="1"/>
  <c r="I174" i="1"/>
  <c r="I175" i="1"/>
  <c r="I176" i="1"/>
  <c r="I177" i="1"/>
  <c r="I178" i="1"/>
  <c r="I179" i="1"/>
  <c r="I181" i="1"/>
  <c r="I182" i="1"/>
  <c r="I183" i="1"/>
  <c r="I184" i="1"/>
  <c r="I185" i="1"/>
  <c r="I186" i="1"/>
  <c r="I187" i="1"/>
  <c r="I189" i="1"/>
  <c r="I190" i="1"/>
  <c r="I191" i="1"/>
  <c r="I192" i="1"/>
  <c r="I193" i="1"/>
  <c r="I194" i="1"/>
  <c r="I195" i="1"/>
  <c r="I197" i="1"/>
  <c r="I198" i="1"/>
  <c r="I199" i="1"/>
  <c r="I200" i="1"/>
  <c r="I201" i="1"/>
  <c r="I202" i="1"/>
  <c r="I203" i="1"/>
  <c r="I205" i="1"/>
  <c r="I206" i="1"/>
  <c r="I207" i="1"/>
  <c r="I208" i="1"/>
  <c r="I209" i="1"/>
  <c r="I210" i="1"/>
  <c r="I211" i="1"/>
  <c r="I213" i="1"/>
  <c r="I214" i="1"/>
  <c r="I215" i="1"/>
  <c r="I216" i="1"/>
  <c r="I217" i="1"/>
  <c r="I218" i="1"/>
  <c r="I219" i="1"/>
  <c r="I221" i="1"/>
  <c r="I222" i="1"/>
  <c r="I223" i="1"/>
  <c r="I224" i="1"/>
  <c r="I225" i="1"/>
  <c r="I226" i="1"/>
  <c r="I227" i="1"/>
  <c r="I229" i="1"/>
  <c r="I230" i="1"/>
  <c r="I231" i="1"/>
  <c r="I232" i="1"/>
  <c r="I233" i="1"/>
  <c r="I234" i="1"/>
  <c r="I235" i="1"/>
  <c r="I237" i="1"/>
  <c r="I238" i="1"/>
  <c r="I239" i="1"/>
  <c r="I240" i="1"/>
  <c r="I241" i="1"/>
  <c r="I242" i="1"/>
  <c r="I243" i="1"/>
  <c r="I245" i="1"/>
  <c r="I246" i="1"/>
  <c r="I247" i="1"/>
  <c r="I248" i="1"/>
  <c r="I249" i="1"/>
  <c r="I250" i="1"/>
  <c r="I251" i="1"/>
  <c r="I253" i="1"/>
  <c r="I254" i="1"/>
  <c r="I255" i="1"/>
  <c r="I256" i="1"/>
  <c r="I257" i="1"/>
  <c r="I258" i="1"/>
  <c r="I259" i="1"/>
  <c r="I261" i="1"/>
  <c r="I262" i="1"/>
  <c r="I263" i="1"/>
  <c r="I264" i="1"/>
  <c r="I265" i="1"/>
  <c r="I266" i="1"/>
  <c r="I267" i="1"/>
  <c r="I269" i="1"/>
  <c r="I270" i="1"/>
  <c r="I271" i="1"/>
  <c r="I272" i="1"/>
  <c r="I273" i="1"/>
  <c r="I274" i="1"/>
  <c r="I275" i="1"/>
  <c r="I277" i="1"/>
  <c r="I278" i="1"/>
  <c r="I279" i="1"/>
  <c r="I280" i="1"/>
  <c r="I281" i="1"/>
  <c r="I282" i="1"/>
  <c r="I283" i="1"/>
  <c r="I285" i="1"/>
  <c r="I286" i="1"/>
  <c r="I287" i="1"/>
  <c r="I288" i="1"/>
  <c r="I289" i="1"/>
  <c r="I290" i="1"/>
  <c r="I291" i="1"/>
  <c r="I293" i="1"/>
  <c r="I294" i="1"/>
  <c r="I295" i="1"/>
  <c r="I296" i="1"/>
  <c r="I297" i="1"/>
  <c r="I298" i="1"/>
  <c r="I299" i="1"/>
  <c r="I301" i="1"/>
  <c r="I302" i="1"/>
  <c r="I303" i="1"/>
  <c r="I304" i="1"/>
  <c r="I305" i="1"/>
  <c r="I306" i="1"/>
  <c r="I307" i="1"/>
  <c r="I309" i="1"/>
  <c r="I310" i="1"/>
  <c r="I311" i="1"/>
  <c r="I312" i="1"/>
  <c r="I313" i="1"/>
  <c r="I314" i="1"/>
  <c r="I315" i="1"/>
  <c r="I317" i="1"/>
  <c r="I318" i="1"/>
  <c r="I319" i="1"/>
  <c r="I320" i="1"/>
  <c r="I321" i="1"/>
  <c r="I322" i="1"/>
  <c r="I323" i="1"/>
  <c r="I325" i="1"/>
  <c r="I326" i="1"/>
  <c r="I327" i="1"/>
  <c r="I328" i="1"/>
  <c r="I329" i="1"/>
  <c r="I330" i="1"/>
  <c r="I331" i="1"/>
  <c r="I333" i="1"/>
  <c r="I334" i="1"/>
  <c r="I335" i="1"/>
  <c r="I336" i="1"/>
  <c r="I337" i="1"/>
  <c r="I338" i="1"/>
  <c r="I339" i="1"/>
  <c r="I341" i="1"/>
  <c r="I342" i="1"/>
  <c r="I343" i="1"/>
  <c r="I344" i="1"/>
  <c r="I345" i="1"/>
  <c r="I346" i="1"/>
  <c r="I347" i="1"/>
  <c r="I349" i="1"/>
  <c r="I350" i="1"/>
  <c r="I351" i="1"/>
  <c r="I352" i="1"/>
  <c r="I353" i="1"/>
  <c r="I354" i="1"/>
  <c r="I355" i="1"/>
  <c r="I357" i="1"/>
  <c r="I358" i="1"/>
  <c r="I359" i="1"/>
  <c r="I360" i="1"/>
  <c r="I361" i="1"/>
  <c r="I362" i="1"/>
  <c r="I363" i="1"/>
  <c r="I365" i="1"/>
  <c r="I366" i="1"/>
  <c r="I367" i="1"/>
  <c r="I368" i="1"/>
  <c r="I369" i="1"/>
  <c r="I370" i="1"/>
  <c r="I371" i="1"/>
  <c r="I373" i="1"/>
  <c r="I374" i="1"/>
  <c r="I375" i="1"/>
  <c r="I376" i="1"/>
  <c r="I377" i="1"/>
  <c r="I378" i="1"/>
  <c r="I379" i="1"/>
  <c r="I381" i="1"/>
  <c r="I382" i="1"/>
  <c r="I383" i="1"/>
  <c r="I384" i="1"/>
  <c r="I385" i="1"/>
  <c r="I386" i="1"/>
  <c r="I387" i="1"/>
  <c r="I389" i="1"/>
  <c r="I390" i="1"/>
  <c r="I391" i="1"/>
  <c r="I392" i="1"/>
  <c r="I393" i="1"/>
  <c r="I394" i="1"/>
  <c r="I395" i="1"/>
  <c r="I397" i="1"/>
  <c r="I398" i="1"/>
  <c r="I399" i="1"/>
  <c r="I400" i="1"/>
  <c r="I401" i="1"/>
  <c r="I402" i="1"/>
  <c r="I403" i="1"/>
  <c r="I405" i="1"/>
  <c r="I406" i="1"/>
  <c r="I407" i="1"/>
  <c r="I408" i="1"/>
  <c r="I409" i="1"/>
  <c r="I410" i="1"/>
  <c r="I411" i="1"/>
  <c r="I413" i="1"/>
  <c r="I414" i="1"/>
  <c r="I415" i="1"/>
  <c r="I416" i="1"/>
  <c r="I417" i="1"/>
  <c r="I418" i="1"/>
  <c r="I419" i="1"/>
  <c r="I421" i="1"/>
  <c r="I422" i="1"/>
  <c r="I423" i="1"/>
  <c r="I424" i="1"/>
  <c r="I425" i="1"/>
  <c r="I426" i="1"/>
  <c r="I427" i="1"/>
  <c r="I429" i="1"/>
  <c r="I430" i="1"/>
  <c r="I431" i="1"/>
  <c r="I432" i="1"/>
  <c r="I433" i="1"/>
  <c r="I434" i="1"/>
  <c r="I435" i="1"/>
  <c r="I437" i="1"/>
  <c r="I438" i="1"/>
  <c r="I439" i="1"/>
  <c r="I440" i="1"/>
  <c r="I441" i="1"/>
  <c r="I442" i="1"/>
  <c r="I443" i="1"/>
  <c r="I445" i="1"/>
  <c r="I446" i="1"/>
  <c r="I447" i="1"/>
  <c r="I448" i="1"/>
  <c r="I449" i="1"/>
  <c r="I450" i="1"/>
  <c r="I451" i="1"/>
  <c r="I453" i="1"/>
  <c r="I454" i="1"/>
  <c r="I455" i="1"/>
  <c r="I456" i="1"/>
  <c r="I457" i="1"/>
  <c r="I458" i="1"/>
  <c r="I459" i="1"/>
  <c r="I461" i="1"/>
  <c r="I462" i="1"/>
  <c r="I463" i="1"/>
  <c r="I464" i="1"/>
  <c r="I465" i="1"/>
  <c r="I466" i="1"/>
  <c r="I467" i="1"/>
  <c r="I469" i="1"/>
  <c r="I470" i="1"/>
  <c r="I471" i="1"/>
  <c r="I472" i="1"/>
  <c r="I473" i="1"/>
  <c r="I474" i="1"/>
  <c r="I475" i="1"/>
  <c r="I477" i="1"/>
  <c r="I478" i="1"/>
  <c r="I479" i="1"/>
  <c r="I480" i="1"/>
  <c r="I481" i="1"/>
  <c r="I482" i="1"/>
  <c r="I483" i="1"/>
  <c r="I485" i="1"/>
  <c r="I486" i="1"/>
  <c r="I487" i="1"/>
  <c r="I488" i="1"/>
  <c r="I489" i="1"/>
  <c r="I490" i="1"/>
  <c r="I491" i="1"/>
  <c r="I493" i="1"/>
  <c r="I494" i="1"/>
  <c r="I495" i="1"/>
  <c r="I496" i="1"/>
  <c r="I497" i="1"/>
  <c r="I498" i="1"/>
  <c r="I499" i="1"/>
  <c r="I501" i="1"/>
  <c r="I502" i="1"/>
  <c r="I503" i="1"/>
  <c r="I504" i="1"/>
  <c r="I505" i="1"/>
  <c r="I506" i="1"/>
  <c r="I507" i="1"/>
  <c r="I509" i="1"/>
  <c r="I510" i="1"/>
  <c r="I511" i="1"/>
  <c r="I512" i="1"/>
  <c r="I513" i="1"/>
  <c r="I514" i="1"/>
  <c r="I515" i="1"/>
  <c r="I517" i="1"/>
  <c r="I518" i="1"/>
  <c r="I519" i="1"/>
  <c r="I520" i="1"/>
  <c r="I521" i="1"/>
  <c r="I522" i="1"/>
  <c r="I523" i="1"/>
  <c r="I525" i="1"/>
  <c r="I526" i="1"/>
  <c r="I527" i="1"/>
  <c r="I528" i="1"/>
  <c r="Y7" i="1"/>
  <c r="Y8" i="1"/>
  <c r="Y10" i="1"/>
  <c r="Y12" i="1"/>
  <c r="Y15" i="1"/>
  <c r="Y18" i="1"/>
  <c r="Y20" i="1"/>
  <c r="Y22" i="1"/>
  <c r="Y9" i="1"/>
  <c r="Y11" i="1"/>
  <c r="Y13" i="1"/>
  <c r="Y14" i="1"/>
  <c r="Y16" i="1"/>
  <c r="Y17" i="1"/>
  <c r="Y19" i="1"/>
  <c r="Y21" i="1"/>
  <c r="J14" i="1"/>
  <c r="M9" i="1"/>
  <c r="M10" i="1" s="1"/>
  <c r="M15" i="1" s="1"/>
  <c r="N15" i="1" l="1"/>
  <c r="O15" i="1" s="1"/>
</calcChain>
</file>

<file path=xl/sharedStrings.xml><?xml version="1.0" encoding="utf-8"?>
<sst xmlns="http://schemas.openxmlformats.org/spreadsheetml/2006/main" count="21" uniqueCount="21">
  <si>
    <t>Max Hz</t>
  </si>
  <si>
    <t>max rpm</t>
  </si>
  <si>
    <t>Max RPS</t>
  </si>
  <si>
    <t>Max steps in batch</t>
  </si>
  <si>
    <t>Periode</t>
  </si>
  <si>
    <t>batchtime sec</t>
  </si>
  <si>
    <t>steps/rev</t>
  </si>
  <si>
    <t>sw2</t>
  </si>
  <si>
    <t>sw3</t>
  </si>
  <si>
    <t>sw4</t>
  </si>
  <si>
    <t>sw5</t>
  </si>
  <si>
    <t>idx</t>
  </si>
  <si>
    <t>sw6</t>
  </si>
  <si>
    <t>Max pulses/rev</t>
  </si>
  <si>
    <t>max_Steps_at_target_speed</t>
  </si>
  <si>
    <t>hz</t>
  </si>
  <si>
    <t>us</t>
  </si>
  <si>
    <t>Update_rate_hz</t>
  </si>
  <si>
    <t>mm pr sec</t>
  </si>
  <si>
    <t>mm pr rev</t>
  </si>
  <si>
    <t>BeltRatio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</si>
</sst>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11586C-E01F-4995-A02B-C36A7F2B2C8B}" name="Table1" displayName="Table1" ref="S6:Y22" totalsRowShown="0">
  <autoFilter ref="S6:Y22" xr:uid="{0111586C-E01F-4995-A02B-C36A7F2B2C8B}"/>
  <sortState xmlns:xlrd2="http://schemas.microsoft.com/office/spreadsheetml/2017/richdata2" ref="S7:Y22">
    <sortCondition ref="T6:T22"/>
  </sortState>
  <tableColumns count="7">
    <tableColumn id="1" xr3:uid="{BAF0B516-F3B4-4B58-ACAE-3DC4D97A0327}" name="idx"/>
    <tableColumn id="2" xr3:uid="{602513A3-826A-4957-B68C-8F614E3FCB99}" name="steps/rev"/>
    <tableColumn id="3" xr3:uid="{E0F41249-BDA3-43DB-A84E-76720F74C2CC}" name="sw2"/>
    <tableColumn id="4" xr3:uid="{E9A01094-313A-48D6-84E0-67B8C149F002}" name="sw3"/>
    <tableColumn id="5" xr3:uid="{8E95F12B-E7D4-4F8E-8505-A378382D88B6}" name="sw4"/>
    <tableColumn id="6" xr3:uid="{88BA861C-7029-49E4-B394-DBC698C75474}" name="sw5"/>
    <tableColumn id="7" xr3:uid="{BFD1E560-87CB-4477-8919-67A82414A1DC}" name="sw6" dataDxfId="1">
      <calculatedColumnFormula>MAXHz/Table1[[#This Row],[steps/rev]]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0BFC-63CC-496B-91B8-BE91F2D52BA0}">
  <dimension ref="G6:Y532"/>
  <sheetViews>
    <sheetView tabSelected="1" workbookViewId="0">
      <selection activeCell="J9" sqref="J9"/>
    </sheetView>
  </sheetViews>
  <sheetFormatPr defaultRowHeight="15" x14ac:dyDescent="0.25"/>
  <cols>
    <col min="9" max="9" width="25.28515625" bestFit="1" customWidth="1"/>
    <col min="12" max="12" width="14.28515625" bestFit="1" customWidth="1"/>
    <col min="17" max="17" width="11.7109375" customWidth="1"/>
    <col min="21" max="24" width="6.7109375" bestFit="1" customWidth="1"/>
  </cols>
  <sheetData>
    <row r="6" spans="9:25" x14ac:dyDescent="0.25">
      <c r="S6" t="s">
        <v>11</v>
      </c>
      <c r="T6" t="s">
        <v>6</v>
      </c>
      <c r="U6" t="s">
        <v>7</v>
      </c>
      <c r="V6" t="s">
        <v>8</v>
      </c>
      <c r="W6" t="s">
        <v>9</v>
      </c>
      <c r="X6" t="s">
        <v>10</v>
      </c>
      <c r="Y6" t="s">
        <v>12</v>
      </c>
    </row>
    <row r="7" spans="9:25" x14ac:dyDescent="0.25">
      <c r="L7" t="s">
        <v>20</v>
      </c>
      <c r="M7">
        <v>3</v>
      </c>
      <c r="S7">
        <v>1</v>
      </c>
      <c r="T7">
        <v>400</v>
      </c>
      <c r="U7">
        <v>1</v>
      </c>
      <c r="V7">
        <v>1</v>
      </c>
      <c r="W7">
        <v>1</v>
      </c>
      <c r="X7">
        <v>1</v>
      </c>
      <c r="Y7">
        <f>MAXHz/Table1[[#This Row],[steps/rev]]</f>
        <v>624</v>
      </c>
    </row>
    <row r="8" spans="9:25" x14ac:dyDescent="0.25">
      <c r="I8" t="s">
        <v>0</v>
      </c>
      <c r="J8">
        <f>64/(J13)</f>
        <v>249600</v>
      </c>
      <c r="L8" t="s">
        <v>4</v>
      </c>
      <c r="M8">
        <f>1/MAXHz</f>
        <v>4.0064102564102564E-6</v>
      </c>
      <c r="S8">
        <v>2</v>
      </c>
      <c r="T8">
        <v>800</v>
      </c>
      <c r="U8">
        <v>0</v>
      </c>
      <c r="V8">
        <v>1</v>
      </c>
      <c r="W8">
        <v>1</v>
      </c>
      <c r="X8">
        <v>1</v>
      </c>
      <c r="Y8">
        <f>MAXHz/Table1[[#This Row],[steps/rev]]</f>
        <v>312</v>
      </c>
    </row>
    <row r="9" spans="9:25" x14ac:dyDescent="0.25">
      <c r="I9" t="s">
        <v>1</v>
      </c>
      <c r="J9" s="1">
        <v>2250</v>
      </c>
      <c r="L9" t="s">
        <v>2</v>
      </c>
      <c r="M9">
        <f>J9/60</f>
        <v>37.5</v>
      </c>
      <c r="S9">
        <v>9</v>
      </c>
      <c r="T9">
        <v>1000</v>
      </c>
      <c r="U9">
        <v>1</v>
      </c>
      <c r="V9">
        <v>1</v>
      </c>
      <c r="W9">
        <v>1</v>
      </c>
      <c r="X9">
        <v>0</v>
      </c>
      <c r="Y9">
        <f>MAXHz/Table1[[#This Row],[steps/rev]]</f>
        <v>249.6</v>
      </c>
    </row>
    <row r="10" spans="9:25" x14ac:dyDescent="0.25">
      <c r="L10" t="s">
        <v>13</v>
      </c>
      <c r="M10">
        <f>MAXHz/RPS</f>
        <v>6656</v>
      </c>
      <c r="S10">
        <v>3</v>
      </c>
      <c r="T10">
        <v>1600</v>
      </c>
      <c r="U10">
        <v>1</v>
      </c>
      <c r="V10">
        <v>0</v>
      </c>
      <c r="W10">
        <v>1</v>
      </c>
      <c r="X10">
        <v>1</v>
      </c>
      <c r="Y10">
        <f>MAXHz/Table1[[#This Row],[steps/rev]]</f>
        <v>156</v>
      </c>
    </row>
    <row r="11" spans="9:25" x14ac:dyDescent="0.25">
      <c r="L11" t="s">
        <v>19</v>
      </c>
      <c r="M11">
        <v>4</v>
      </c>
      <c r="S11">
        <v>10</v>
      </c>
      <c r="T11">
        <v>2000</v>
      </c>
      <c r="U11">
        <v>0</v>
      </c>
      <c r="V11">
        <v>1</v>
      </c>
      <c r="W11">
        <v>1</v>
      </c>
      <c r="X11">
        <v>0</v>
      </c>
      <c r="Y11">
        <f>MAXHz/Table1[[#This Row],[steps/rev]]</f>
        <v>124.8</v>
      </c>
    </row>
    <row r="12" spans="9:25" x14ac:dyDescent="0.25">
      <c r="I12" t="s">
        <v>17</v>
      </c>
      <c r="J12" s="1">
        <v>3900</v>
      </c>
      <c r="L12" t="s">
        <v>18</v>
      </c>
      <c r="M12">
        <f>RPM/60*M11/M7</f>
        <v>50</v>
      </c>
      <c r="S12">
        <v>4</v>
      </c>
      <c r="T12">
        <v>3200</v>
      </c>
      <c r="U12">
        <v>0</v>
      </c>
      <c r="V12">
        <v>0</v>
      </c>
      <c r="W12">
        <v>1</v>
      </c>
      <c r="X12">
        <v>1</v>
      </c>
      <c r="Y12">
        <f>MAXHz/Table1[[#This Row],[steps/rev]]</f>
        <v>78</v>
      </c>
    </row>
    <row r="13" spans="9:25" x14ac:dyDescent="0.25">
      <c r="I13" t="s">
        <v>5</v>
      </c>
      <c r="J13">
        <f>1/J12</f>
        <v>2.5641025641025641E-4</v>
      </c>
      <c r="S13">
        <v>11</v>
      </c>
      <c r="T13">
        <v>4000</v>
      </c>
      <c r="U13">
        <v>1</v>
      </c>
      <c r="V13">
        <v>0</v>
      </c>
      <c r="W13">
        <v>1</v>
      </c>
      <c r="X13">
        <v>0</v>
      </c>
      <c r="Y13">
        <f>MAXHz/Table1[[#This Row],[steps/rev]]</f>
        <v>62.4</v>
      </c>
    </row>
    <row r="14" spans="9:25" x14ac:dyDescent="0.25">
      <c r="I14" t="s">
        <v>3</v>
      </c>
      <c r="J14">
        <f>J13/periode</f>
        <v>64</v>
      </c>
      <c r="S14">
        <v>12</v>
      </c>
      <c r="T14">
        <v>5000</v>
      </c>
      <c r="U14">
        <v>0</v>
      </c>
      <c r="V14">
        <v>0</v>
      </c>
      <c r="W14">
        <v>1</v>
      </c>
      <c r="X14">
        <v>0</v>
      </c>
      <c r="Y14">
        <f>MAXHz/Table1[[#This Row],[steps/rev]]</f>
        <v>49.92</v>
      </c>
    </row>
    <row r="15" spans="9:25" x14ac:dyDescent="0.25">
      <c r="M15">
        <f>INDEX(Table1[idx],MATCH(max_pulses_pr_rev,Table1[steps/rev],1))</f>
        <v>5</v>
      </c>
      <c r="N15">
        <f>INDEX(Table1[steps/rev],MATCH(M15,Table1[idx],0))</f>
        <v>6400</v>
      </c>
      <c r="O15">
        <f>N15*RPS</f>
        <v>240000</v>
      </c>
      <c r="S15">
        <v>5</v>
      </c>
      <c r="T15">
        <v>6400</v>
      </c>
      <c r="U15">
        <v>1</v>
      </c>
      <c r="V15">
        <v>1</v>
      </c>
      <c r="W15">
        <v>0</v>
      </c>
      <c r="X15">
        <v>1</v>
      </c>
      <c r="Y15">
        <f>MAXHz/Table1[[#This Row],[steps/rev]]</f>
        <v>39</v>
      </c>
    </row>
    <row r="16" spans="9:25" x14ac:dyDescent="0.25">
      <c r="S16">
        <v>13</v>
      </c>
      <c r="T16">
        <v>8000</v>
      </c>
      <c r="U16">
        <v>1</v>
      </c>
      <c r="V16">
        <v>1</v>
      </c>
      <c r="W16">
        <v>0</v>
      </c>
      <c r="X16">
        <v>0</v>
      </c>
      <c r="Y16">
        <f>MAXHz/Table1[[#This Row],[steps/rev]]</f>
        <v>31.2</v>
      </c>
    </row>
    <row r="17" spans="9:25" x14ac:dyDescent="0.25">
      <c r="S17">
        <v>14</v>
      </c>
      <c r="T17">
        <v>10000</v>
      </c>
      <c r="U17">
        <v>0</v>
      </c>
      <c r="V17">
        <v>1</v>
      </c>
      <c r="W17">
        <v>0</v>
      </c>
      <c r="X17">
        <v>0</v>
      </c>
      <c r="Y17">
        <f>MAXHz/Table1[[#This Row],[steps/rev]]</f>
        <v>24.96</v>
      </c>
    </row>
    <row r="18" spans="9:25" x14ac:dyDescent="0.25">
      <c r="S18">
        <v>6</v>
      </c>
      <c r="T18">
        <v>12800</v>
      </c>
      <c r="U18">
        <v>0</v>
      </c>
      <c r="V18">
        <v>1</v>
      </c>
      <c r="W18">
        <v>0</v>
      </c>
      <c r="X18">
        <v>1</v>
      </c>
      <c r="Y18">
        <f>MAXHz/Table1[[#This Row],[steps/rev]]</f>
        <v>19.5</v>
      </c>
    </row>
    <row r="19" spans="9:25" x14ac:dyDescent="0.25">
      <c r="S19">
        <v>15</v>
      </c>
      <c r="T19">
        <v>20000</v>
      </c>
      <c r="U19">
        <v>1</v>
      </c>
      <c r="V19">
        <v>0</v>
      </c>
      <c r="W19">
        <v>0</v>
      </c>
      <c r="X19">
        <v>0</v>
      </c>
      <c r="Y19">
        <f>MAXHz/Table1[[#This Row],[steps/rev]]</f>
        <v>12.48</v>
      </c>
    </row>
    <row r="20" spans="9:25" x14ac:dyDescent="0.25">
      <c r="S20">
        <v>7</v>
      </c>
      <c r="T20">
        <v>25600</v>
      </c>
      <c r="U20">
        <v>1</v>
      </c>
      <c r="V20">
        <v>0</v>
      </c>
      <c r="W20">
        <v>0</v>
      </c>
      <c r="X20">
        <v>1</v>
      </c>
      <c r="Y20">
        <f>MAXHz/Table1[[#This Row],[steps/rev]]</f>
        <v>9.75</v>
      </c>
    </row>
    <row r="21" spans="9:25" x14ac:dyDescent="0.25">
      <c r="S21">
        <v>16</v>
      </c>
      <c r="T21">
        <v>40000</v>
      </c>
      <c r="U21">
        <v>0</v>
      </c>
      <c r="V21">
        <v>0</v>
      </c>
      <c r="W21">
        <v>0</v>
      </c>
      <c r="X21">
        <v>0</v>
      </c>
      <c r="Y21">
        <f>MAXHz/Table1[[#This Row],[steps/rev]]</f>
        <v>6.24</v>
      </c>
    </row>
    <row r="22" spans="9:25" x14ac:dyDescent="0.25">
      <c r="S22">
        <v>8</v>
      </c>
      <c r="T22">
        <v>51200</v>
      </c>
      <c r="U22">
        <v>0</v>
      </c>
      <c r="V22">
        <v>0</v>
      </c>
      <c r="W22">
        <v>0</v>
      </c>
      <c r="X22">
        <v>1</v>
      </c>
      <c r="Y22">
        <f>MAXHz/Table1[[#This Row],[steps/rev]]</f>
        <v>4.875</v>
      </c>
    </row>
    <row r="27" spans="9:25" x14ac:dyDescent="0.25">
      <c r="K27">
        <v>2000</v>
      </c>
    </row>
    <row r="28" spans="9:25" x14ac:dyDescent="0.25">
      <c r="I28" t="s">
        <v>14</v>
      </c>
      <c r="J28" t="s">
        <v>15</v>
      </c>
      <c r="K28" t="s">
        <v>16</v>
      </c>
    </row>
    <row r="29" spans="9:25" x14ac:dyDescent="0.25">
      <c r="I29">
        <f>$K$27/K29</f>
        <v>2E-3</v>
      </c>
      <c r="J29">
        <v>1</v>
      </c>
      <c r="K29">
        <f>1000000/J29</f>
        <v>1000000</v>
      </c>
    </row>
    <row r="30" spans="9:25" x14ac:dyDescent="0.25">
      <c r="I30">
        <f t="shared" ref="I30:I93" si="0">$K$27/K30</f>
        <v>4.0000000000000001E-3</v>
      </c>
      <c r="J30">
        <v>2</v>
      </c>
      <c r="K30">
        <f t="shared" ref="K30:K93" si="1">1000000/J30</f>
        <v>500000</v>
      </c>
    </row>
    <row r="31" spans="9:25" x14ac:dyDescent="0.25">
      <c r="I31">
        <f t="shared" si="0"/>
        <v>6.0000000000000001E-3</v>
      </c>
      <c r="J31">
        <v>3</v>
      </c>
      <c r="K31">
        <f t="shared" si="1"/>
        <v>333333.33333333331</v>
      </c>
    </row>
    <row r="32" spans="9:25" x14ac:dyDescent="0.25">
      <c r="I32">
        <f t="shared" si="0"/>
        <v>8.0000000000000002E-3</v>
      </c>
      <c r="J32">
        <v>4</v>
      </c>
      <c r="K32">
        <f t="shared" si="1"/>
        <v>250000</v>
      </c>
    </row>
    <row r="33" spans="9:11" x14ac:dyDescent="0.25">
      <c r="I33">
        <f t="shared" si="0"/>
        <v>0.01</v>
      </c>
      <c r="J33">
        <v>5</v>
      </c>
      <c r="K33">
        <f t="shared" si="1"/>
        <v>200000</v>
      </c>
    </row>
    <row r="34" spans="9:11" x14ac:dyDescent="0.25">
      <c r="I34">
        <f t="shared" si="0"/>
        <v>1.2E-2</v>
      </c>
      <c r="J34">
        <v>6</v>
      </c>
      <c r="K34">
        <f t="shared" si="1"/>
        <v>166666.66666666666</v>
      </c>
    </row>
    <row r="35" spans="9:11" x14ac:dyDescent="0.25">
      <c r="I35">
        <f t="shared" si="0"/>
        <v>1.3999999999999999E-2</v>
      </c>
      <c r="J35">
        <v>7</v>
      </c>
      <c r="K35">
        <f t="shared" si="1"/>
        <v>142857.14285714287</v>
      </c>
    </row>
    <row r="36" spans="9:11" x14ac:dyDescent="0.25">
      <c r="I36">
        <f t="shared" si="0"/>
        <v>1.6E-2</v>
      </c>
      <c r="J36">
        <v>8</v>
      </c>
      <c r="K36">
        <f t="shared" si="1"/>
        <v>125000</v>
      </c>
    </row>
    <row r="37" spans="9:11" x14ac:dyDescent="0.25">
      <c r="I37">
        <f t="shared" si="0"/>
        <v>1.7999999999999999E-2</v>
      </c>
      <c r="J37">
        <v>9</v>
      </c>
      <c r="K37">
        <f t="shared" si="1"/>
        <v>111111.11111111111</v>
      </c>
    </row>
    <row r="38" spans="9:11" x14ac:dyDescent="0.25">
      <c r="I38">
        <f t="shared" si="0"/>
        <v>0.02</v>
      </c>
      <c r="J38">
        <v>10</v>
      </c>
      <c r="K38">
        <f t="shared" si="1"/>
        <v>100000</v>
      </c>
    </row>
    <row r="39" spans="9:11" x14ac:dyDescent="0.25">
      <c r="I39">
        <f t="shared" si="0"/>
        <v>2.1999999999999999E-2</v>
      </c>
      <c r="J39">
        <v>11</v>
      </c>
      <c r="K39">
        <f t="shared" si="1"/>
        <v>90909.090909090912</v>
      </c>
    </row>
    <row r="40" spans="9:11" x14ac:dyDescent="0.25">
      <c r="I40">
        <f t="shared" si="0"/>
        <v>2.4E-2</v>
      </c>
      <c r="J40">
        <v>12</v>
      </c>
      <c r="K40">
        <f t="shared" si="1"/>
        <v>83333.333333333328</v>
      </c>
    </row>
    <row r="41" spans="9:11" x14ac:dyDescent="0.25">
      <c r="I41">
        <f t="shared" si="0"/>
        <v>2.5999999999999999E-2</v>
      </c>
      <c r="J41">
        <v>13</v>
      </c>
      <c r="K41">
        <f t="shared" si="1"/>
        <v>76923.076923076922</v>
      </c>
    </row>
    <row r="42" spans="9:11" x14ac:dyDescent="0.25">
      <c r="I42">
        <f t="shared" si="0"/>
        <v>2.7999999999999997E-2</v>
      </c>
      <c r="J42">
        <v>14</v>
      </c>
      <c r="K42">
        <f t="shared" si="1"/>
        <v>71428.571428571435</v>
      </c>
    </row>
    <row r="43" spans="9:11" x14ac:dyDescent="0.25">
      <c r="I43">
        <f t="shared" si="0"/>
        <v>0.03</v>
      </c>
      <c r="J43">
        <v>15</v>
      </c>
      <c r="K43">
        <f t="shared" si="1"/>
        <v>66666.666666666672</v>
      </c>
    </row>
    <row r="44" spans="9:11" x14ac:dyDescent="0.25">
      <c r="I44">
        <f t="shared" si="0"/>
        <v>3.2000000000000001E-2</v>
      </c>
      <c r="J44">
        <v>16</v>
      </c>
      <c r="K44">
        <f t="shared" si="1"/>
        <v>62500</v>
      </c>
    </row>
    <row r="45" spans="9:11" x14ac:dyDescent="0.25">
      <c r="I45">
        <f t="shared" si="0"/>
        <v>3.4000000000000002E-2</v>
      </c>
      <c r="J45">
        <v>17</v>
      </c>
      <c r="K45">
        <f t="shared" si="1"/>
        <v>58823.529411764706</v>
      </c>
    </row>
    <row r="46" spans="9:11" x14ac:dyDescent="0.25">
      <c r="I46">
        <f t="shared" si="0"/>
        <v>3.5999999999999997E-2</v>
      </c>
      <c r="J46">
        <v>18</v>
      </c>
      <c r="K46">
        <f t="shared" si="1"/>
        <v>55555.555555555555</v>
      </c>
    </row>
    <row r="47" spans="9:11" x14ac:dyDescent="0.25">
      <c r="I47">
        <f t="shared" si="0"/>
        <v>3.7999999999999999E-2</v>
      </c>
      <c r="J47">
        <v>19</v>
      </c>
      <c r="K47">
        <f t="shared" si="1"/>
        <v>52631.57894736842</v>
      </c>
    </row>
    <row r="48" spans="9:11" x14ac:dyDescent="0.25">
      <c r="I48">
        <f t="shared" si="0"/>
        <v>0.04</v>
      </c>
      <c r="J48">
        <v>20</v>
      </c>
      <c r="K48">
        <f t="shared" si="1"/>
        <v>50000</v>
      </c>
    </row>
    <row r="49" spans="9:11" x14ac:dyDescent="0.25">
      <c r="I49">
        <f t="shared" si="0"/>
        <v>4.2000000000000003E-2</v>
      </c>
      <c r="J49">
        <v>21</v>
      </c>
      <c r="K49">
        <f t="shared" si="1"/>
        <v>47619.047619047618</v>
      </c>
    </row>
    <row r="50" spans="9:11" x14ac:dyDescent="0.25">
      <c r="I50">
        <f t="shared" si="0"/>
        <v>4.3999999999999997E-2</v>
      </c>
      <c r="J50">
        <v>22</v>
      </c>
      <c r="K50">
        <f t="shared" si="1"/>
        <v>45454.545454545456</v>
      </c>
    </row>
    <row r="51" spans="9:11" x14ac:dyDescent="0.25">
      <c r="I51">
        <f t="shared" si="0"/>
        <v>4.5999999999999999E-2</v>
      </c>
      <c r="J51">
        <v>23</v>
      </c>
      <c r="K51">
        <f t="shared" si="1"/>
        <v>43478.260869565216</v>
      </c>
    </row>
    <row r="52" spans="9:11" x14ac:dyDescent="0.25">
      <c r="I52">
        <f t="shared" si="0"/>
        <v>4.8000000000000001E-2</v>
      </c>
      <c r="J52">
        <v>24</v>
      </c>
      <c r="K52">
        <f t="shared" si="1"/>
        <v>41666.666666666664</v>
      </c>
    </row>
    <row r="53" spans="9:11" x14ac:dyDescent="0.25">
      <c r="I53">
        <f t="shared" si="0"/>
        <v>0.05</v>
      </c>
      <c r="J53">
        <v>25</v>
      </c>
      <c r="K53">
        <f t="shared" si="1"/>
        <v>40000</v>
      </c>
    </row>
    <row r="54" spans="9:11" x14ac:dyDescent="0.25">
      <c r="I54">
        <f t="shared" si="0"/>
        <v>5.1999999999999998E-2</v>
      </c>
      <c r="J54">
        <v>26</v>
      </c>
      <c r="K54">
        <f t="shared" si="1"/>
        <v>38461.538461538461</v>
      </c>
    </row>
    <row r="55" spans="9:11" x14ac:dyDescent="0.25">
      <c r="I55">
        <f t="shared" si="0"/>
        <v>5.3999999999999999E-2</v>
      </c>
      <c r="J55">
        <v>27</v>
      </c>
      <c r="K55">
        <f t="shared" si="1"/>
        <v>37037.037037037036</v>
      </c>
    </row>
    <row r="56" spans="9:11" x14ac:dyDescent="0.25">
      <c r="I56">
        <f t="shared" si="0"/>
        <v>5.5999999999999994E-2</v>
      </c>
      <c r="J56">
        <v>28</v>
      </c>
      <c r="K56">
        <f t="shared" si="1"/>
        <v>35714.285714285717</v>
      </c>
    </row>
    <row r="57" spans="9:11" x14ac:dyDescent="0.25">
      <c r="I57">
        <f t="shared" si="0"/>
        <v>5.8000000000000003E-2</v>
      </c>
      <c r="J57">
        <v>29</v>
      </c>
      <c r="K57">
        <f t="shared" si="1"/>
        <v>34482.758620689652</v>
      </c>
    </row>
    <row r="58" spans="9:11" x14ac:dyDescent="0.25">
      <c r="I58">
        <f t="shared" si="0"/>
        <v>0.06</v>
      </c>
      <c r="J58">
        <v>30</v>
      </c>
      <c r="K58">
        <f t="shared" si="1"/>
        <v>33333.333333333336</v>
      </c>
    </row>
    <row r="59" spans="9:11" x14ac:dyDescent="0.25">
      <c r="I59">
        <f t="shared" si="0"/>
        <v>6.2E-2</v>
      </c>
      <c r="J59">
        <v>31</v>
      </c>
      <c r="K59">
        <f t="shared" si="1"/>
        <v>32258.064516129034</v>
      </c>
    </row>
    <row r="60" spans="9:11" x14ac:dyDescent="0.25">
      <c r="I60">
        <f t="shared" si="0"/>
        <v>6.4000000000000001E-2</v>
      </c>
      <c r="J60">
        <v>32</v>
      </c>
      <c r="K60">
        <f t="shared" si="1"/>
        <v>31250</v>
      </c>
    </row>
    <row r="61" spans="9:11" x14ac:dyDescent="0.25">
      <c r="I61">
        <f t="shared" si="0"/>
        <v>6.6000000000000003E-2</v>
      </c>
      <c r="J61">
        <v>33</v>
      </c>
      <c r="K61">
        <f t="shared" si="1"/>
        <v>30303.030303030304</v>
      </c>
    </row>
    <row r="62" spans="9:11" x14ac:dyDescent="0.25">
      <c r="I62">
        <f t="shared" si="0"/>
        <v>6.8000000000000005E-2</v>
      </c>
      <c r="J62">
        <v>34</v>
      </c>
      <c r="K62">
        <f t="shared" si="1"/>
        <v>29411.764705882353</v>
      </c>
    </row>
    <row r="63" spans="9:11" x14ac:dyDescent="0.25">
      <c r="I63">
        <f t="shared" si="0"/>
        <v>6.9999999999999993E-2</v>
      </c>
      <c r="J63">
        <v>35</v>
      </c>
      <c r="K63">
        <f t="shared" si="1"/>
        <v>28571.428571428572</v>
      </c>
    </row>
    <row r="64" spans="9:11" x14ac:dyDescent="0.25">
      <c r="I64">
        <f t="shared" si="0"/>
        <v>7.1999999999999995E-2</v>
      </c>
      <c r="J64">
        <v>36</v>
      </c>
      <c r="K64">
        <f t="shared" si="1"/>
        <v>27777.777777777777</v>
      </c>
    </row>
    <row r="65" spans="9:11" x14ac:dyDescent="0.25">
      <c r="I65">
        <f t="shared" si="0"/>
        <v>7.3999999999999996E-2</v>
      </c>
      <c r="J65">
        <v>37</v>
      </c>
      <c r="K65">
        <f t="shared" si="1"/>
        <v>27027.027027027027</v>
      </c>
    </row>
    <row r="66" spans="9:11" x14ac:dyDescent="0.25">
      <c r="I66">
        <f t="shared" si="0"/>
        <v>7.5999999999999998E-2</v>
      </c>
      <c r="J66">
        <v>38</v>
      </c>
      <c r="K66">
        <f t="shared" si="1"/>
        <v>26315.78947368421</v>
      </c>
    </row>
    <row r="67" spans="9:11" x14ac:dyDescent="0.25">
      <c r="I67">
        <f t="shared" si="0"/>
        <v>7.8E-2</v>
      </c>
      <c r="J67">
        <v>39</v>
      </c>
      <c r="K67">
        <f t="shared" si="1"/>
        <v>25641.025641025641</v>
      </c>
    </row>
    <row r="68" spans="9:11" x14ac:dyDescent="0.25">
      <c r="I68">
        <f t="shared" si="0"/>
        <v>0.08</v>
      </c>
      <c r="J68">
        <v>40</v>
      </c>
      <c r="K68">
        <f t="shared" si="1"/>
        <v>25000</v>
      </c>
    </row>
    <row r="69" spans="9:11" x14ac:dyDescent="0.25">
      <c r="I69">
        <f t="shared" si="0"/>
        <v>8.199999999999999E-2</v>
      </c>
      <c r="J69">
        <v>41</v>
      </c>
      <c r="K69">
        <f t="shared" si="1"/>
        <v>24390.243902439026</v>
      </c>
    </row>
    <row r="70" spans="9:11" x14ac:dyDescent="0.25">
      <c r="I70">
        <f t="shared" si="0"/>
        <v>8.4000000000000005E-2</v>
      </c>
      <c r="J70">
        <v>42</v>
      </c>
      <c r="K70">
        <f t="shared" si="1"/>
        <v>23809.523809523809</v>
      </c>
    </row>
    <row r="71" spans="9:11" x14ac:dyDescent="0.25">
      <c r="I71">
        <f t="shared" si="0"/>
        <v>8.6000000000000007E-2</v>
      </c>
      <c r="J71">
        <v>43</v>
      </c>
      <c r="K71">
        <f t="shared" si="1"/>
        <v>23255.81395348837</v>
      </c>
    </row>
    <row r="72" spans="9:11" x14ac:dyDescent="0.25">
      <c r="I72">
        <f t="shared" si="0"/>
        <v>8.7999999999999995E-2</v>
      </c>
      <c r="J72">
        <v>44</v>
      </c>
      <c r="K72">
        <f t="shared" si="1"/>
        <v>22727.272727272728</v>
      </c>
    </row>
    <row r="73" spans="9:11" x14ac:dyDescent="0.25">
      <c r="I73">
        <f t="shared" si="0"/>
        <v>0.09</v>
      </c>
      <c r="J73">
        <v>45</v>
      </c>
      <c r="K73">
        <f t="shared" si="1"/>
        <v>22222.222222222223</v>
      </c>
    </row>
    <row r="74" spans="9:11" x14ac:dyDescent="0.25">
      <c r="I74">
        <f t="shared" si="0"/>
        <v>9.1999999999999998E-2</v>
      </c>
      <c r="J74">
        <v>46</v>
      </c>
      <c r="K74">
        <f t="shared" si="1"/>
        <v>21739.130434782608</v>
      </c>
    </row>
    <row r="75" spans="9:11" x14ac:dyDescent="0.25">
      <c r="I75">
        <f t="shared" si="0"/>
        <v>9.4E-2</v>
      </c>
      <c r="J75">
        <v>47</v>
      </c>
      <c r="K75">
        <f t="shared" si="1"/>
        <v>21276.59574468085</v>
      </c>
    </row>
    <row r="76" spans="9:11" x14ac:dyDescent="0.25">
      <c r="I76">
        <f t="shared" si="0"/>
        <v>9.6000000000000002E-2</v>
      </c>
      <c r="J76">
        <v>48</v>
      </c>
      <c r="K76">
        <f t="shared" si="1"/>
        <v>20833.333333333332</v>
      </c>
    </row>
    <row r="77" spans="9:11" x14ac:dyDescent="0.25">
      <c r="I77">
        <f t="shared" si="0"/>
        <v>9.799999999999999E-2</v>
      </c>
      <c r="J77">
        <v>49</v>
      </c>
      <c r="K77">
        <f t="shared" si="1"/>
        <v>20408.163265306124</v>
      </c>
    </row>
    <row r="78" spans="9:11" x14ac:dyDescent="0.25">
      <c r="I78">
        <f t="shared" si="0"/>
        <v>0.1</v>
      </c>
      <c r="J78">
        <v>50</v>
      </c>
      <c r="K78">
        <f t="shared" si="1"/>
        <v>20000</v>
      </c>
    </row>
    <row r="79" spans="9:11" x14ac:dyDescent="0.25">
      <c r="I79">
        <f t="shared" si="0"/>
        <v>0.10199999999999999</v>
      </c>
      <c r="J79">
        <v>51</v>
      </c>
      <c r="K79">
        <f t="shared" si="1"/>
        <v>19607.843137254902</v>
      </c>
    </row>
    <row r="80" spans="9:11" x14ac:dyDescent="0.25">
      <c r="I80">
        <f t="shared" si="0"/>
        <v>0.104</v>
      </c>
      <c r="J80">
        <v>52</v>
      </c>
      <c r="K80">
        <f t="shared" si="1"/>
        <v>19230.76923076923</v>
      </c>
    </row>
    <row r="81" spans="9:11" x14ac:dyDescent="0.25">
      <c r="I81">
        <f t="shared" si="0"/>
        <v>0.106</v>
      </c>
      <c r="J81">
        <v>53</v>
      </c>
      <c r="K81">
        <f t="shared" si="1"/>
        <v>18867.924528301886</v>
      </c>
    </row>
    <row r="82" spans="9:11" x14ac:dyDescent="0.25">
      <c r="I82">
        <f t="shared" si="0"/>
        <v>0.108</v>
      </c>
      <c r="J82">
        <v>54</v>
      </c>
      <c r="K82">
        <f t="shared" si="1"/>
        <v>18518.518518518518</v>
      </c>
    </row>
    <row r="83" spans="9:11" x14ac:dyDescent="0.25">
      <c r="I83">
        <f t="shared" si="0"/>
        <v>0.11000000000000001</v>
      </c>
      <c r="J83">
        <v>55</v>
      </c>
      <c r="K83">
        <f t="shared" si="1"/>
        <v>18181.81818181818</v>
      </c>
    </row>
    <row r="84" spans="9:11" x14ac:dyDescent="0.25">
      <c r="I84">
        <f t="shared" si="0"/>
        <v>0.11199999999999999</v>
      </c>
      <c r="J84">
        <v>56</v>
      </c>
      <c r="K84">
        <f t="shared" si="1"/>
        <v>17857.142857142859</v>
      </c>
    </row>
    <row r="85" spans="9:11" x14ac:dyDescent="0.25">
      <c r="I85">
        <f t="shared" si="0"/>
        <v>0.114</v>
      </c>
      <c r="J85">
        <v>57</v>
      </c>
      <c r="K85">
        <f t="shared" si="1"/>
        <v>17543.859649122805</v>
      </c>
    </row>
    <row r="86" spans="9:11" x14ac:dyDescent="0.25">
      <c r="I86">
        <f t="shared" si="0"/>
        <v>0.11600000000000001</v>
      </c>
      <c r="J86">
        <v>58</v>
      </c>
      <c r="K86">
        <f t="shared" si="1"/>
        <v>17241.379310344826</v>
      </c>
    </row>
    <row r="87" spans="9:11" x14ac:dyDescent="0.25">
      <c r="I87">
        <f t="shared" si="0"/>
        <v>0.11799999999999999</v>
      </c>
      <c r="J87">
        <v>59</v>
      </c>
      <c r="K87">
        <f t="shared" si="1"/>
        <v>16949.152542372882</v>
      </c>
    </row>
    <row r="88" spans="9:11" x14ac:dyDescent="0.25">
      <c r="I88">
        <f t="shared" si="0"/>
        <v>0.12</v>
      </c>
      <c r="J88">
        <v>60</v>
      </c>
      <c r="K88">
        <f t="shared" si="1"/>
        <v>16666.666666666668</v>
      </c>
    </row>
    <row r="89" spans="9:11" x14ac:dyDescent="0.25">
      <c r="I89">
        <f t="shared" si="0"/>
        <v>0.122</v>
      </c>
      <c r="J89">
        <v>61</v>
      </c>
      <c r="K89">
        <f t="shared" si="1"/>
        <v>16393.442622950821</v>
      </c>
    </row>
    <row r="90" spans="9:11" x14ac:dyDescent="0.25">
      <c r="I90">
        <f t="shared" si="0"/>
        <v>0.124</v>
      </c>
      <c r="J90">
        <v>62</v>
      </c>
      <c r="K90">
        <f t="shared" si="1"/>
        <v>16129.032258064517</v>
      </c>
    </row>
    <row r="91" spans="9:11" x14ac:dyDescent="0.25">
      <c r="I91">
        <f t="shared" si="0"/>
        <v>0.126</v>
      </c>
      <c r="J91">
        <v>63</v>
      </c>
      <c r="K91">
        <f t="shared" si="1"/>
        <v>15873.015873015873</v>
      </c>
    </row>
    <row r="92" spans="9:11" x14ac:dyDescent="0.25">
      <c r="I92">
        <f t="shared" si="0"/>
        <v>0.128</v>
      </c>
      <c r="J92">
        <v>64</v>
      </c>
      <c r="K92">
        <f t="shared" si="1"/>
        <v>15625</v>
      </c>
    </row>
    <row r="93" spans="9:11" x14ac:dyDescent="0.25">
      <c r="I93">
        <f t="shared" si="0"/>
        <v>0.13</v>
      </c>
      <c r="J93">
        <v>65</v>
      </c>
      <c r="K93">
        <f t="shared" si="1"/>
        <v>15384.615384615385</v>
      </c>
    </row>
    <row r="94" spans="9:11" x14ac:dyDescent="0.25">
      <c r="I94">
        <f t="shared" ref="I94:I157" si="2">$K$27/K94</f>
        <v>0.13200000000000001</v>
      </c>
      <c r="J94">
        <v>66</v>
      </c>
      <c r="K94">
        <f t="shared" ref="K94:K157" si="3">1000000/J94</f>
        <v>15151.515151515152</v>
      </c>
    </row>
    <row r="95" spans="9:11" x14ac:dyDescent="0.25">
      <c r="I95">
        <f t="shared" si="2"/>
        <v>0.13400000000000001</v>
      </c>
      <c r="J95">
        <v>67</v>
      </c>
      <c r="K95">
        <f t="shared" si="3"/>
        <v>14925.373134328358</v>
      </c>
    </row>
    <row r="96" spans="9:11" x14ac:dyDescent="0.25">
      <c r="I96">
        <f t="shared" si="2"/>
        <v>0.13600000000000001</v>
      </c>
      <c r="J96">
        <v>68</v>
      </c>
      <c r="K96">
        <f t="shared" si="3"/>
        <v>14705.882352941177</v>
      </c>
    </row>
    <row r="97" spans="9:11" x14ac:dyDescent="0.25">
      <c r="I97">
        <f t="shared" si="2"/>
        <v>0.13800000000000001</v>
      </c>
      <c r="J97">
        <v>69</v>
      </c>
      <c r="K97">
        <f t="shared" si="3"/>
        <v>14492.753623188406</v>
      </c>
    </row>
    <row r="98" spans="9:11" x14ac:dyDescent="0.25">
      <c r="I98">
        <f t="shared" si="2"/>
        <v>0.13999999999999999</v>
      </c>
      <c r="J98">
        <v>70</v>
      </c>
      <c r="K98">
        <f t="shared" si="3"/>
        <v>14285.714285714286</v>
      </c>
    </row>
    <row r="99" spans="9:11" x14ac:dyDescent="0.25">
      <c r="I99">
        <f t="shared" si="2"/>
        <v>0.14200000000000002</v>
      </c>
      <c r="J99">
        <v>71</v>
      </c>
      <c r="K99">
        <f t="shared" si="3"/>
        <v>14084.507042253521</v>
      </c>
    </row>
    <row r="100" spans="9:11" x14ac:dyDescent="0.25">
      <c r="I100">
        <f t="shared" si="2"/>
        <v>0.14399999999999999</v>
      </c>
      <c r="J100">
        <v>72</v>
      </c>
      <c r="K100">
        <f t="shared" si="3"/>
        <v>13888.888888888889</v>
      </c>
    </row>
    <row r="101" spans="9:11" x14ac:dyDescent="0.25">
      <c r="I101">
        <f t="shared" si="2"/>
        <v>0.14599999999999999</v>
      </c>
      <c r="J101">
        <v>73</v>
      </c>
      <c r="K101">
        <f t="shared" si="3"/>
        <v>13698.630136986301</v>
      </c>
    </row>
    <row r="102" spans="9:11" x14ac:dyDescent="0.25">
      <c r="I102">
        <f t="shared" si="2"/>
        <v>0.14799999999999999</v>
      </c>
      <c r="J102">
        <v>74</v>
      </c>
      <c r="K102">
        <f t="shared" si="3"/>
        <v>13513.513513513513</v>
      </c>
    </row>
    <row r="103" spans="9:11" x14ac:dyDescent="0.25">
      <c r="I103">
        <f t="shared" si="2"/>
        <v>0.15</v>
      </c>
      <c r="J103">
        <v>75</v>
      </c>
      <c r="K103">
        <f t="shared" si="3"/>
        <v>13333.333333333334</v>
      </c>
    </row>
    <row r="104" spans="9:11" x14ac:dyDescent="0.25">
      <c r="I104">
        <f t="shared" si="2"/>
        <v>0.152</v>
      </c>
      <c r="J104">
        <v>76</v>
      </c>
      <c r="K104">
        <f t="shared" si="3"/>
        <v>13157.894736842105</v>
      </c>
    </row>
    <row r="105" spans="9:11" x14ac:dyDescent="0.25">
      <c r="I105">
        <f t="shared" si="2"/>
        <v>0.154</v>
      </c>
      <c r="J105">
        <v>77</v>
      </c>
      <c r="K105">
        <f t="shared" si="3"/>
        <v>12987.012987012988</v>
      </c>
    </row>
    <row r="106" spans="9:11" x14ac:dyDescent="0.25">
      <c r="I106">
        <f t="shared" si="2"/>
        <v>0.156</v>
      </c>
      <c r="J106">
        <v>78</v>
      </c>
      <c r="K106">
        <f t="shared" si="3"/>
        <v>12820.51282051282</v>
      </c>
    </row>
    <row r="107" spans="9:11" x14ac:dyDescent="0.25">
      <c r="I107">
        <f t="shared" si="2"/>
        <v>0.158</v>
      </c>
      <c r="J107">
        <v>79</v>
      </c>
      <c r="K107">
        <f t="shared" si="3"/>
        <v>12658.227848101265</v>
      </c>
    </row>
    <row r="108" spans="9:11" x14ac:dyDescent="0.25">
      <c r="I108">
        <f t="shared" si="2"/>
        <v>0.16</v>
      </c>
      <c r="J108">
        <v>80</v>
      </c>
      <c r="K108">
        <f t="shared" si="3"/>
        <v>12500</v>
      </c>
    </row>
    <row r="109" spans="9:11" x14ac:dyDescent="0.25">
      <c r="I109">
        <f t="shared" si="2"/>
        <v>0.16200000000000001</v>
      </c>
      <c r="J109">
        <v>81</v>
      </c>
      <c r="K109">
        <f t="shared" si="3"/>
        <v>12345.679012345679</v>
      </c>
    </row>
    <row r="110" spans="9:11" x14ac:dyDescent="0.25">
      <c r="I110">
        <f t="shared" si="2"/>
        <v>0.16399999999999998</v>
      </c>
      <c r="J110">
        <v>82</v>
      </c>
      <c r="K110">
        <f t="shared" si="3"/>
        <v>12195.121951219513</v>
      </c>
    </row>
    <row r="111" spans="9:11" x14ac:dyDescent="0.25">
      <c r="I111">
        <f t="shared" si="2"/>
        <v>0.16600000000000001</v>
      </c>
      <c r="J111">
        <v>83</v>
      </c>
      <c r="K111">
        <f t="shared" si="3"/>
        <v>12048.192771084337</v>
      </c>
    </row>
    <row r="112" spans="9:11" x14ac:dyDescent="0.25">
      <c r="I112">
        <f t="shared" si="2"/>
        <v>0.16800000000000001</v>
      </c>
      <c r="J112">
        <v>84</v>
      </c>
      <c r="K112">
        <f t="shared" si="3"/>
        <v>11904.761904761905</v>
      </c>
    </row>
    <row r="113" spans="9:11" x14ac:dyDescent="0.25">
      <c r="I113">
        <f t="shared" si="2"/>
        <v>0.17</v>
      </c>
      <c r="J113">
        <v>85</v>
      </c>
      <c r="K113">
        <f t="shared" si="3"/>
        <v>11764.705882352941</v>
      </c>
    </row>
    <row r="114" spans="9:11" x14ac:dyDescent="0.25">
      <c r="I114">
        <f t="shared" si="2"/>
        <v>0.17200000000000001</v>
      </c>
      <c r="J114">
        <v>86</v>
      </c>
      <c r="K114">
        <f t="shared" si="3"/>
        <v>11627.906976744185</v>
      </c>
    </row>
    <row r="115" spans="9:11" x14ac:dyDescent="0.25">
      <c r="I115">
        <f t="shared" si="2"/>
        <v>0.17399999999999999</v>
      </c>
      <c r="J115">
        <v>87</v>
      </c>
      <c r="K115">
        <f t="shared" si="3"/>
        <v>11494.252873563219</v>
      </c>
    </row>
    <row r="116" spans="9:11" x14ac:dyDescent="0.25">
      <c r="I116">
        <f t="shared" si="2"/>
        <v>0.17599999999999999</v>
      </c>
      <c r="J116">
        <v>88</v>
      </c>
      <c r="K116">
        <f t="shared" si="3"/>
        <v>11363.636363636364</v>
      </c>
    </row>
    <row r="117" spans="9:11" x14ac:dyDescent="0.25">
      <c r="I117">
        <f t="shared" si="2"/>
        <v>0.17799999999999999</v>
      </c>
      <c r="J117">
        <v>89</v>
      </c>
      <c r="K117">
        <f t="shared" si="3"/>
        <v>11235.955056179775</v>
      </c>
    </row>
    <row r="118" spans="9:11" x14ac:dyDescent="0.25">
      <c r="I118">
        <f t="shared" si="2"/>
        <v>0.18</v>
      </c>
      <c r="J118">
        <v>90</v>
      </c>
      <c r="K118">
        <f t="shared" si="3"/>
        <v>11111.111111111111</v>
      </c>
    </row>
    <row r="119" spans="9:11" x14ac:dyDescent="0.25">
      <c r="I119">
        <f t="shared" si="2"/>
        <v>0.182</v>
      </c>
      <c r="J119">
        <v>91</v>
      </c>
      <c r="K119">
        <f t="shared" si="3"/>
        <v>10989.010989010989</v>
      </c>
    </row>
    <row r="120" spans="9:11" x14ac:dyDescent="0.25">
      <c r="I120">
        <f t="shared" si="2"/>
        <v>0.184</v>
      </c>
      <c r="J120">
        <v>92</v>
      </c>
      <c r="K120">
        <f t="shared" si="3"/>
        <v>10869.565217391304</v>
      </c>
    </row>
    <row r="121" spans="9:11" x14ac:dyDescent="0.25">
      <c r="I121">
        <f t="shared" si="2"/>
        <v>0.186</v>
      </c>
      <c r="J121">
        <v>93</v>
      </c>
      <c r="K121">
        <f t="shared" si="3"/>
        <v>10752.68817204301</v>
      </c>
    </row>
    <row r="122" spans="9:11" x14ac:dyDescent="0.25">
      <c r="I122">
        <f t="shared" si="2"/>
        <v>0.188</v>
      </c>
      <c r="J122">
        <v>94</v>
      </c>
      <c r="K122">
        <f t="shared" si="3"/>
        <v>10638.297872340425</v>
      </c>
    </row>
    <row r="123" spans="9:11" x14ac:dyDescent="0.25">
      <c r="I123">
        <f t="shared" si="2"/>
        <v>0.18999999999999997</v>
      </c>
      <c r="J123">
        <v>95</v>
      </c>
      <c r="K123">
        <f t="shared" si="3"/>
        <v>10526.315789473685</v>
      </c>
    </row>
    <row r="124" spans="9:11" x14ac:dyDescent="0.25">
      <c r="I124">
        <f t="shared" si="2"/>
        <v>0.192</v>
      </c>
      <c r="J124">
        <v>96</v>
      </c>
      <c r="K124">
        <f t="shared" si="3"/>
        <v>10416.666666666666</v>
      </c>
    </row>
    <row r="125" spans="9:11" x14ac:dyDescent="0.25">
      <c r="I125">
        <f t="shared" si="2"/>
        <v>0.19400000000000001</v>
      </c>
      <c r="J125">
        <v>97</v>
      </c>
      <c r="K125">
        <f t="shared" si="3"/>
        <v>10309.278350515464</v>
      </c>
    </row>
    <row r="126" spans="9:11" x14ac:dyDescent="0.25">
      <c r="I126">
        <f t="shared" si="2"/>
        <v>0.19599999999999998</v>
      </c>
      <c r="J126">
        <v>98</v>
      </c>
      <c r="K126">
        <f t="shared" si="3"/>
        <v>10204.081632653062</v>
      </c>
    </row>
    <row r="127" spans="9:11" x14ac:dyDescent="0.25">
      <c r="I127">
        <f t="shared" si="2"/>
        <v>0.19800000000000001</v>
      </c>
      <c r="J127">
        <v>99</v>
      </c>
      <c r="K127">
        <f t="shared" si="3"/>
        <v>10101.010101010101</v>
      </c>
    </row>
    <row r="128" spans="9:11" x14ac:dyDescent="0.25">
      <c r="I128">
        <f t="shared" si="2"/>
        <v>0.2</v>
      </c>
      <c r="J128">
        <v>100</v>
      </c>
      <c r="K128">
        <f t="shared" si="3"/>
        <v>10000</v>
      </c>
    </row>
    <row r="129" spans="9:11" x14ac:dyDescent="0.25">
      <c r="I129">
        <f t="shared" si="2"/>
        <v>0.20199999999999999</v>
      </c>
      <c r="J129">
        <v>101</v>
      </c>
      <c r="K129">
        <f t="shared" si="3"/>
        <v>9900.9900990099013</v>
      </c>
    </row>
    <row r="130" spans="9:11" x14ac:dyDescent="0.25">
      <c r="I130">
        <f t="shared" si="2"/>
        <v>0.20399999999999999</v>
      </c>
      <c r="J130">
        <v>102</v>
      </c>
      <c r="K130">
        <f t="shared" si="3"/>
        <v>9803.9215686274511</v>
      </c>
    </row>
    <row r="131" spans="9:11" x14ac:dyDescent="0.25">
      <c r="I131">
        <f t="shared" si="2"/>
        <v>0.20600000000000002</v>
      </c>
      <c r="J131">
        <v>103</v>
      </c>
      <c r="K131">
        <f t="shared" si="3"/>
        <v>9708.7378640776697</v>
      </c>
    </row>
    <row r="132" spans="9:11" x14ac:dyDescent="0.25">
      <c r="I132">
        <f t="shared" si="2"/>
        <v>0.20799999999999999</v>
      </c>
      <c r="J132">
        <v>104</v>
      </c>
      <c r="K132">
        <f t="shared" si="3"/>
        <v>9615.3846153846152</v>
      </c>
    </row>
    <row r="133" spans="9:11" x14ac:dyDescent="0.25">
      <c r="I133">
        <f t="shared" si="2"/>
        <v>0.21000000000000002</v>
      </c>
      <c r="J133">
        <v>105</v>
      </c>
      <c r="K133">
        <f t="shared" si="3"/>
        <v>9523.8095238095229</v>
      </c>
    </row>
    <row r="134" spans="9:11" x14ac:dyDescent="0.25">
      <c r="I134">
        <f t="shared" si="2"/>
        <v>0.21199999999999999</v>
      </c>
      <c r="J134">
        <v>106</v>
      </c>
      <c r="K134">
        <f t="shared" si="3"/>
        <v>9433.9622641509432</v>
      </c>
    </row>
    <row r="135" spans="9:11" x14ac:dyDescent="0.25">
      <c r="I135">
        <f t="shared" si="2"/>
        <v>0.214</v>
      </c>
      <c r="J135">
        <v>107</v>
      </c>
      <c r="K135">
        <f t="shared" si="3"/>
        <v>9345.7943925233649</v>
      </c>
    </row>
    <row r="136" spans="9:11" x14ac:dyDescent="0.25">
      <c r="I136">
        <f t="shared" si="2"/>
        <v>0.216</v>
      </c>
      <c r="J136">
        <v>108</v>
      </c>
      <c r="K136">
        <f t="shared" si="3"/>
        <v>9259.2592592592591</v>
      </c>
    </row>
    <row r="137" spans="9:11" x14ac:dyDescent="0.25">
      <c r="I137">
        <f t="shared" si="2"/>
        <v>0.21800000000000003</v>
      </c>
      <c r="J137">
        <v>109</v>
      </c>
      <c r="K137">
        <f t="shared" si="3"/>
        <v>9174.3119266055037</v>
      </c>
    </row>
    <row r="138" spans="9:11" x14ac:dyDescent="0.25">
      <c r="I138">
        <f t="shared" si="2"/>
        <v>0.22000000000000003</v>
      </c>
      <c r="J138">
        <v>110</v>
      </c>
      <c r="K138">
        <f t="shared" si="3"/>
        <v>9090.9090909090901</v>
      </c>
    </row>
    <row r="139" spans="9:11" x14ac:dyDescent="0.25">
      <c r="I139">
        <f t="shared" si="2"/>
        <v>0.222</v>
      </c>
      <c r="J139">
        <v>111</v>
      </c>
      <c r="K139">
        <f t="shared" si="3"/>
        <v>9009.0090090090089</v>
      </c>
    </row>
    <row r="140" spans="9:11" x14ac:dyDescent="0.25">
      <c r="I140">
        <f t="shared" si="2"/>
        <v>0.22399999999999998</v>
      </c>
      <c r="J140">
        <v>112</v>
      </c>
      <c r="K140">
        <f t="shared" si="3"/>
        <v>8928.5714285714294</v>
      </c>
    </row>
    <row r="141" spans="9:11" x14ac:dyDescent="0.25">
      <c r="I141">
        <f t="shared" si="2"/>
        <v>0.22599999999999998</v>
      </c>
      <c r="J141">
        <v>113</v>
      </c>
      <c r="K141">
        <f t="shared" si="3"/>
        <v>8849.5575221238942</v>
      </c>
    </row>
    <row r="142" spans="9:11" x14ac:dyDescent="0.25">
      <c r="I142">
        <f t="shared" si="2"/>
        <v>0.22800000000000001</v>
      </c>
      <c r="J142">
        <v>114</v>
      </c>
      <c r="K142">
        <f t="shared" si="3"/>
        <v>8771.9298245614027</v>
      </c>
    </row>
    <row r="143" spans="9:11" x14ac:dyDescent="0.25">
      <c r="I143">
        <f t="shared" si="2"/>
        <v>0.22999999999999998</v>
      </c>
      <c r="J143">
        <v>115</v>
      </c>
      <c r="K143">
        <f t="shared" si="3"/>
        <v>8695.652173913044</v>
      </c>
    </row>
    <row r="144" spans="9:11" x14ac:dyDescent="0.25">
      <c r="I144">
        <f t="shared" si="2"/>
        <v>0.23200000000000001</v>
      </c>
      <c r="J144">
        <v>116</v>
      </c>
      <c r="K144">
        <f t="shared" si="3"/>
        <v>8620.689655172413</v>
      </c>
    </row>
    <row r="145" spans="9:11" x14ac:dyDescent="0.25">
      <c r="I145">
        <f t="shared" si="2"/>
        <v>0.23400000000000001</v>
      </c>
      <c r="J145">
        <v>117</v>
      </c>
      <c r="K145">
        <f t="shared" si="3"/>
        <v>8547.0085470085469</v>
      </c>
    </row>
    <row r="146" spans="9:11" x14ac:dyDescent="0.25">
      <c r="I146">
        <f t="shared" si="2"/>
        <v>0.23599999999999999</v>
      </c>
      <c r="J146">
        <v>118</v>
      </c>
      <c r="K146">
        <f t="shared" si="3"/>
        <v>8474.5762711864409</v>
      </c>
    </row>
    <row r="147" spans="9:11" x14ac:dyDescent="0.25">
      <c r="I147">
        <f t="shared" si="2"/>
        <v>0.23799999999999999</v>
      </c>
      <c r="J147">
        <v>119</v>
      </c>
      <c r="K147">
        <f t="shared" si="3"/>
        <v>8403.361344537816</v>
      </c>
    </row>
    <row r="148" spans="9:11" x14ac:dyDescent="0.25">
      <c r="I148">
        <f t="shared" si="2"/>
        <v>0.24</v>
      </c>
      <c r="J148">
        <v>120</v>
      </c>
      <c r="K148">
        <f t="shared" si="3"/>
        <v>8333.3333333333339</v>
      </c>
    </row>
    <row r="149" spans="9:11" x14ac:dyDescent="0.25">
      <c r="I149">
        <f t="shared" si="2"/>
        <v>0.24200000000000002</v>
      </c>
      <c r="J149">
        <v>121</v>
      </c>
      <c r="K149">
        <f t="shared" si="3"/>
        <v>8264.4628099173551</v>
      </c>
    </row>
    <row r="150" spans="9:11" x14ac:dyDescent="0.25">
      <c r="I150">
        <f t="shared" si="2"/>
        <v>0.24399999999999999</v>
      </c>
      <c r="J150">
        <v>122</v>
      </c>
      <c r="K150">
        <f t="shared" si="3"/>
        <v>8196.7213114754104</v>
      </c>
    </row>
    <row r="151" spans="9:11" x14ac:dyDescent="0.25">
      <c r="I151">
        <f t="shared" si="2"/>
        <v>0.246</v>
      </c>
      <c r="J151">
        <v>123</v>
      </c>
      <c r="K151">
        <f t="shared" si="3"/>
        <v>8130.0813008130081</v>
      </c>
    </row>
    <row r="152" spans="9:11" x14ac:dyDescent="0.25">
      <c r="I152">
        <f t="shared" si="2"/>
        <v>0.248</v>
      </c>
      <c r="J152">
        <v>124</v>
      </c>
      <c r="K152">
        <f t="shared" si="3"/>
        <v>8064.5161290322585</v>
      </c>
    </row>
    <row r="153" spans="9:11" x14ac:dyDescent="0.25">
      <c r="I153">
        <f t="shared" si="2"/>
        <v>0.25</v>
      </c>
      <c r="J153">
        <v>125</v>
      </c>
      <c r="K153">
        <f t="shared" si="3"/>
        <v>8000</v>
      </c>
    </row>
    <row r="154" spans="9:11" x14ac:dyDescent="0.25">
      <c r="I154">
        <f t="shared" si="2"/>
        <v>0.252</v>
      </c>
      <c r="J154">
        <v>126</v>
      </c>
      <c r="K154">
        <f t="shared" si="3"/>
        <v>7936.5079365079364</v>
      </c>
    </row>
    <row r="155" spans="9:11" x14ac:dyDescent="0.25">
      <c r="I155">
        <f t="shared" si="2"/>
        <v>0.254</v>
      </c>
      <c r="J155">
        <v>127</v>
      </c>
      <c r="K155">
        <f t="shared" si="3"/>
        <v>7874.0157480314965</v>
      </c>
    </row>
    <row r="156" spans="9:11" x14ac:dyDescent="0.25">
      <c r="I156">
        <f t="shared" si="2"/>
        <v>0.25600000000000001</v>
      </c>
      <c r="J156">
        <v>128</v>
      </c>
      <c r="K156">
        <f t="shared" si="3"/>
        <v>7812.5</v>
      </c>
    </row>
    <row r="157" spans="9:11" x14ac:dyDescent="0.25">
      <c r="I157">
        <f t="shared" si="2"/>
        <v>0.25800000000000001</v>
      </c>
      <c r="J157">
        <v>129</v>
      </c>
      <c r="K157">
        <f t="shared" si="3"/>
        <v>7751.937984496124</v>
      </c>
    </row>
    <row r="158" spans="9:11" x14ac:dyDescent="0.25">
      <c r="I158">
        <f t="shared" ref="I158:I221" si="4">$K$27/K158</f>
        <v>0.26</v>
      </c>
      <c r="J158">
        <v>130</v>
      </c>
      <c r="K158">
        <f t="shared" ref="K158:K221" si="5">1000000/J158</f>
        <v>7692.3076923076924</v>
      </c>
    </row>
    <row r="159" spans="9:11" x14ac:dyDescent="0.25">
      <c r="I159">
        <f t="shared" si="4"/>
        <v>0.26200000000000001</v>
      </c>
      <c r="J159">
        <v>131</v>
      </c>
      <c r="K159">
        <f t="shared" si="5"/>
        <v>7633.5877862595416</v>
      </c>
    </row>
    <row r="160" spans="9:11" x14ac:dyDescent="0.25">
      <c r="I160">
        <f t="shared" si="4"/>
        <v>0.26400000000000001</v>
      </c>
      <c r="J160">
        <v>132</v>
      </c>
      <c r="K160">
        <f t="shared" si="5"/>
        <v>7575.757575757576</v>
      </c>
    </row>
    <row r="161" spans="9:11" x14ac:dyDescent="0.25">
      <c r="I161">
        <f t="shared" si="4"/>
        <v>0.26600000000000001</v>
      </c>
      <c r="J161">
        <v>133</v>
      </c>
      <c r="K161">
        <f t="shared" si="5"/>
        <v>7518.7969924812032</v>
      </c>
    </row>
    <row r="162" spans="9:11" x14ac:dyDescent="0.25">
      <c r="I162">
        <f t="shared" si="4"/>
        <v>0.26800000000000002</v>
      </c>
      <c r="J162">
        <v>134</v>
      </c>
      <c r="K162">
        <f t="shared" si="5"/>
        <v>7462.686567164179</v>
      </c>
    </row>
    <row r="163" spans="9:11" x14ac:dyDescent="0.25">
      <c r="I163">
        <f t="shared" si="4"/>
        <v>0.26999999999999996</v>
      </c>
      <c r="J163">
        <v>135</v>
      </c>
      <c r="K163">
        <f t="shared" si="5"/>
        <v>7407.4074074074078</v>
      </c>
    </row>
    <row r="164" spans="9:11" x14ac:dyDescent="0.25">
      <c r="I164">
        <f t="shared" si="4"/>
        <v>0.27200000000000002</v>
      </c>
      <c r="J164">
        <v>136</v>
      </c>
      <c r="K164">
        <f t="shared" si="5"/>
        <v>7352.9411764705883</v>
      </c>
    </row>
    <row r="165" spans="9:11" x14ac:dyDescent="0.25">
      <c r="I165">
        <f t="shared" si="4"/>
        <v>0.27399999999999997</v>
      </c>
      <c r="J165">
        <v>137</v>
      </c>
      <c r="K165">
        <f t="shared" si="5"/>
        <v>7299.270072992701</v>
      </c>
    </row>
    <row r="166" spans="9:11" x14ac:dyDescent="0.25">
      <c r="I166">
        <f t="shared" si="4"/>
        <v>0.27600000000000002</v>
      </c>
      <c r="J166">
        <v>138</v>
      </c>
      <c r="K166">
        <f t="shared" si="5"/>
        <v>7246.376811594203</v>
      </c>
    </row>
    <row r="167" spans="9:11" x14ac:dyDescent="0.25">
      <c r="I167">
        <f t="shared" si="4"/>
        <v>0.27800000000000002</v>
      </c>
      <c r="J167">
        <v>139</v>
      </c>
      <c r="K167">
        <f t="shared" si="5"/>
        <v>7194.2446043165464</v>
      </c>
    </row>
    <row r="168" spans="9:11" x14ac:dyDescent="0.25">
      <c r="I168">
        <f t="shared" si="4"/>
        <v>0.27999999999999997</v>
      </c>
      <c r="J168">
        <v>140</v>
      </c>
      <c r="K168">
        <f t="shared" si="5"/>
        <v>7142.8571428571431</v>
      </c>
    </row>
    <row r="169" spans="9:11" x14ac:dyDescent="0.25">
      <c r="I169">
        <f t="shared" si="4"/>
        <v>0.28199999999999997</v>
      </c>
      <c r="J169">
        <v>141</v>
      </c>
      <c r="K169">
        <f t="shared" si="5"/>
        <v>7092.1985815602839</v>
      </c>
    </row>
    <row r="170" spans="9:11" x14ac:dyDescent="0.25">
      <c r="I170">
        <f t="shared" si="4"/>
        <v>0.28400000000000003</v>
      </c>
      <c r="J170">
        <v>142</v>
      </c>
      <c r="K170">
        <f t="shared" si="5"/>
        <v>7042.2535211267605</v>
      </c>
    </row>
    <row r="171" spans="9:11" x14ac:dyDescent="0.25">
      <c r="I171">
        <f t="shared" si="4"/>
        <v>0.28599999999999998</v>
      </c>
      <c r="J171">
        <v>143</v>
      </c>
      <c r="K171">
        <f t="shared" si="5"/>
        <v>6993.0069930069931</v>
      </c>
    </row>
    <row r="172" spans="9:11" x14ac:dyDescent="0.25">
      <c r="I172">
        <f t="shared" si="4"/>
        <v>0.28799999999999998</v>
      </c>
      <c r="J172">
        <v>144</v>
      </c>
      <c r="K172">
        <f t="shared" si="5"/>
        <v>6944.4444444444443</v>
      </c>
    </row>
    <row r="173" spans="9:11" x14ac:dyDescent="0.25">
      <c r="I173">
        <f t="shared" si="4"/>
        <v>0.28999999999999998</v>
      </c>
      <c r="J173">
        <v>145</v>
      </c>
      <c r="K173">
        <f t="shared" si="5"/>
        <v>6896.5517241379312</v>
      </c>
    </row>
    <row r="174" spans="9:11" x14ac:dyDescent="0.25">
      <c r="I174">
        <f t="shared" si="4"/>
        <v>0.29199999999999998</v>
      </c>
      <c r="J174">
        <v>146</v>
      </c>
      <c r="K174">
        <f t="shared" si="5"/>
        <v>6849.3150684931506</v>
      </c>
    </row>
    <row r="175" spans="9:11" x14ac:dyDescent="0.25">
      <c r="I175">
        <f t="shared" si="4"/>
        <v>0.29399999999999998</v>
      </c>
      <c r="J175">
        <v>147</v>
      </c>
      <c r="K175">
        <f t="shared" si="5"/>
        <v>6802.7210884353744</v>
      </c>
    </row>
    <row r="176" spans="9:11" x14ac:dyDescent="0.25">
      <c r="I176">
        <f t="shared" si="4"/>
        <v>0.29599999999999999</v>
      </c>
      <c r="J176">
        <v>148</v>
      </c>
      <c r="K176">
        <f t="shared" si="5"/>
        <v>6756.7567567567567</v>
      </c>
    </row>
    <row r="177" spans="9:11" x14ac:dyDescent="0.25">
      <c r="I177">
        <f t="shared" si="4"/>
        <v>0.29799999999999999</v>
      </c>
      <c r="J177">
        <v>149</v>
      </c>
      <c r="K177">
        <f t="shared" si="5"/>
        <v>6711.4093959731545</v>
      </c>
    </row>
    <row r="178" spans="9:11" x14ac:dyDescent="0.25">
      <c r="I178">
        <f t="shared" si="4"/>
        <v>0.3</v>
      </c>
      <c r="J178">
        <v>150</v>
      </c>
      <c r="K178">
        <f t="shared" si="5"/>
        <v>6666.666666666667</v>
      </c>
    </row>
    <row r="179" spans="9:11" x14ac:dyDescent="0.25">
      <c r="I179">
        <f t="shared" si="4"/>
        <v>0.30199999999999999</v>
      </c>
      <c r="J179">
        <v>151</v>
      </c>
      <c r="K179">
        <f t="shared" si="5"/>
        <v>6622.5165562913908</v>
      </c>
    </row>
    <row r="180" spans="9:11" x14ac:dyDescent="0.25">
      <c r="I180">
        <f t="shared" si="4"/>
        <v>0.30399999999999999</v>
      </c>
      <c r="J180">
        <v>152</v>
      </c>
      <c r="K180">
        <f t="shared" si="5"/>
        <v>6578.9473684210525</v>
      </c>
    </row>
    <row r="181" spans="9:11" x14ac:dyDescent="0.25">
      <c r="I181">
        <f t="shared" si="4"/>
        <v>0.30599999999999999</v>
      </c>
      <c r="J181">
        <v>153</v>
      </c>
      <c r="K181">
        <f t="shared" si="5"/>
        <v>6535.9477124183004</v>
      </c>
    </row>
    <row r="182" spans="9:11" x14ac:dyDescent="0.25">
      <c r="I182">
        <f t="shared" si="4"/>
        <v>0.308</v>
      </c>
      <c r="J182">
        <v>154</v>
      </c>
      <c r="K182">
        <f t="shared" si="5"/>
        <v>6493.5064935064938</v>
      </c>
    </row>
    <row r="183" spans="9:11" x14ac:dyDescent="0.25">
      <c r="I183">
        <f t="shared" si="4"/>
        <v>0.31</v>
      </c>
      <c r="J183">
        <v>155</v>
      </c>
      <c r="K183">
        <f t="shared" si="5"/>
        <v>6451.6129032258068</v>
      </c>
    </row>
    <row r="184" spans="9:11" x14ac:dyDescent="0.25">
      <c r="I184">
        <f t="shared" si="4"/>
        <v>0.312</v>
      </c>
      <c r="J184">
        <v>156</v>
      </c>
      <c r="K184">
        <f t="shared" si="5"/>
        <v>6410.2564102564102</v>
      </c>
    </row>
    <row r="185" spans="9:11" x14ac:dyDescent="0.25">
      <c r="I185">
        <f t="shared" si="4"/>
        <v>0.314</v>
      </c>
      <c r="J185">
        <v>157</v>
      </c>
      <c r="K185">
        <f t="shared" si="5"/>
        <v>6369.4267515923566</v>
      </c>
    </row>
    <row r="186" spans="9:11" x14ac:dyDescent="0.25">
      <c r="I186">
        <f t="shared" si="4"/>
        <v>0.316</v>
      </c>
      <c r="J186">
        <v>158</v>
      </c>
      <c r="K186">
        <f t="shared" si="5"/>
        <v>6329.1139240506327</v>
      </c>
    </row>
    <row r="187" spans="9:11" x14ac:dyDescent="0.25">
      <c r="I187">
        <f t="shared" si="4"/>
        <v>0.318</v>
      </c>
      <c r="J187">
        <v>159</v>
      </c>
      <c r="K187">
        <f t="shared" si="5"/>
        <v>6289.3081761006288</v>
      </c>
    </row>
    <row r="188" spans="9:11" x14ac:dyDescent="0.25">
      <c r="I188">
        <f t="shared" si="4"/>
        <v>0.32</v>
      </c>
      <c r="J188">
        <v>160</v>
      </c>
      <c r="K188">
        <f t="shared" si="5"/>
        <v>6250</v>
      </c>
    </row>
    <row r="189" spans="9:11" x14ac:dyDescent="0.25">
      <c r="I189">
        <f t="shared" si="4"/>
        <v>0.32200000000000001</v>
      </c>
      <c r="J189">
        <v>161</v>
      </c>
      <c r="K189">
        <f t="shared" si="5"/>
        <v>6211.1801242236024</v>
      </c>
    </row>
    <row r="190" spans="9:11" x14ac:dyDescent="0.25">
      <c r="I190">
        <f t="shared" si="4"/>
        <v>0.32400000000000001</v>
      </c>
      <c r="J190">
        <v>162</v>
      </c>
      <c r="K190">
        <f t="shared" si="5"/>
        <v>6172.8395061728397</v>
      </c>
    </row>
    <row r="191" spans="9:11" x14ac:dyDescent="0.25">
      <c r="I191">
        <f t="shared" si="4"/>
        <v>0.32600000000000001</v>
      </c>
      <c r="J191">
        <v>163</v>
      </c>
      <c r="K191">
        <f t="shared" si="5"/>
        <v>6134.9693251533745</v>
      </c>
    </row>
    <row r="192" spans="9:11" x14ac:dyDescent="0.25">
      <c r="I192">
        <f t="shared" si="4"/>
        <v>0.32799999999999996</v>
      </c>
      <c r="J192">
        <v>164</v>
      </c>
      <c r="K192">
        <f t="shared" si="5"/>
        <v>6097.5609756097565</v>
      </c>
    </row>
    <row r="193" spans="9:11" x14ac:dyDescent="0.25">
      <c r="I193">
        <f t="shared" si="4"/>
        <v>0.32999999999999996</v>
      </c>
      <c r="J193">
        <v>165</v>
      </c>
      <c r="K193">
        <f t="shared" si="5"/>
        <v>6060.606060606061</v>
      </c>
    </row>
    <row r="194" spans="9:11" x14ac:dyDescent="0.25">
      <c r="I194">
        <f t="shared" si="4"/>
        <v>0.33200000000000002</v>
      </c>
      <c r="J194">
        <v>166</v>
      </c>
      <c r="K194">
        <f t="shared" si="5"/>
        <v>6024.0963855421687</v>
      </c>
    </row>
    <row r="195" spans="9:11" x14ac:dyDescent="0.25">
      <c r="I195">
        <f t="shared" si="4"/>
        <v>0.33400000000000002</v>
      </c>
      <c r="J195">
        <v>167</v>
      </c>
      <c r="K195">
        <f t="shared" si="5"/>
        <v>5988.0239520958085</v>
      </c>
    </row>
    <row r="196" spans="9:11" x14ac:dyDescent="0.25">
      <c r="I196">
        <f t="shared" si="4"/>
        <v>0.33600000000000002</v>
      </c>
      <c r="J196">
        <v>168</v>
      </c>
      <c r="K196">
        <f t="shared" si="5"/>
        <v>5952.3809523809523</v>
      </c>
    </row>
    <row r="197" spans="9:11" x14ac:dyDescent="0.25">
      <c r="I197">
        <f t="shared" si="4"/>
        <v>0.33799999999999997</v>
      </c>
      <c r="J197">
        <v>169</v>
      </c>
      <c r="K197">
        <f t="shared" si="5"/>
        <v>5917.1597633136098</v>
      </c>
    </row>
    <row r="198" spans="9:11" x14ac:dyDescent="0.25">
      <c r="I198">
        <f t="shared" si="4"/>
        <v>0.34</v>
      </c>
      <c r="J198">
        <v>170</v>
      </c>
      <c r="K198">
        <f t="shared" si="5"/>
        <v>5882.3529411764703</v>
      </c>
    </row>
    <row r="199" spans="9:11" x14ac:dyDescent="0.25">
      <c r="I199">
        <f t="shared" si="4"/>
        <v>0.34200000000000003</v>
      </c>
      <c r="J199">
        <v>171</v>
      </c>
      <c r="K199">
        <f t="shared" si="5"/>
        <v>5847.9532163742688</v>
      </c>
    </row>
    <row r="200" spans="9:11" x14ac:dyDescent="0.25">
      <c r="I200">
        <f t="shared" si="4"/>
        <v>0.34400000000000003</v>
      </c>
      <c r="J200">
        <v>172</v>
      </c>
      <c r="K200">
        <f t="shared" si="5"/>
        <v>5813.9534883720926</v>
      </c>
    </row>
    <row r="201" spans="9:11" x14ac:dyDescent="0.25">
      <c r="I201">
        <f t="shared" si="4"/>
        <v>0.34600000000000003</v>
      </c>
      <c r="J201">
        <v>173</v>
      </c>
      <c r="K201">
        <f t="shared" si="5"/>
        <v>5780.3468208092481</v>
      </c>
    </row>
    <row r="202" spans="9:11" x14ac:dyDescent="0.25">
      <c r="I202">
        <f t="shared" si="4"/>
        <v>0.34799999999999998</v>
      </c>
      <c r="J202">
        <v>174</v>
      </c>
      <c r="K202">
        <f t="shared" si="5"/>
        <v>5747.1264367816093</v>
      </c>
    </row>
    <row r="203" spans="9:11" x14ac:dyDescent="0.25">
      <c r="I203">
        <f t="shared" si="4"/>
        <v>0.35</v>
      </c>
      <c r="J203">
        <v>175</v>
      </c>
      <c r="K203">
        <f t="shared" si="5"/>
        <v>5714.2857142857147</v>
      </c>
    </row>
    <row r="204" spans="9:11" x14ac:dyDescent="0.25">
      <c r="I204">
        <f t="shared" si="4"/>
        <v>0.35199999999999998</v>
      </c>
      <c r="J204">
        <v>176</v>
      </c>
      <c r="K204">
        <f t="shared" si="5"/>
        <v>5681.818181818182</v>
      </c>
    </row>
    <row r="205" spans="9:11" x14ac:dyDescent="0.25">
      <c r="I205">
        <f t="shared" si="4"/>
        <v>0.35399999999999998</v>
      </c>
      <c r="J205">
        <v>177</v>
      </c>
      <c r="K205">
        <f t="shared" si="5"/>
        <v>5649.7175141242942</v>
      </c>
    </row>
    <row r="206" spans="9:11" x14ac:dyDescent="0.25">
      <c r="I206">
        <f t="shared" si="4"/>
        <v>0.35599999999999998</v>
      </c>
      <c r="J206">
        <v>178</v>
      </c>
      <c r="K206">
        <f t="shared" si="5"/>
        <v>5617.9775280898875</v>
      </c>
    </row>
    <row r="207" spans="9:11" x14ac:dyDescent="0.25">
      <c r="I207">
        <f t="shared" si="4"/>
        <v>0.35800000000000004</v>
      </c>
      <c r="J207">
        <v>179</v>
      </c>
      <c r="K207">
        <f t="shared" si="5"/>
        <v>5586.5921787709494</v>
      </c>
    </row>
    <row r="208" spans="9:11" x14ac:dyDescent="0.25">
      <c r="I208">
        <f t="shared" si="4"/>
        <v>0.36</v>
      </c>
      <c r="J208">
        <v>180</v>
      </c>
      <c r="K208">
        <f t="shared" si="5"/>
        <v>5555.5555555555557</v>
      </c>
    </row>
    <row r="209" spans="9:11" x14ac:dyDescent="0.25">
      <c r="I209">
        <f t="shared" si="4"/>
        <v>0.36199999999999999</v>
      </c>
      <c r="J209">
        <v>181</v>
      </c>
      <c r="K209">
        <f t="shared" si="5"/>
        <v>5524.861878453039</v>
      </c>
    </row>
    <row r="210" spans="9:11" x14ac:dyDescent="0.25">
      <c r="I210">
        <f t="shared" si="4"/>
        <v>0.36399999999999999</v>
      </c>
      <c r="J210">
        <v>182</v>
      </c>
      <c r="K210">
        <f t="shared" si="5"/>
        <v>5494.5054945054944</v>
      </c>
    </row>
    <row r="211" spans="9:11" x14ac:dyDescent="0.25">
      <c r="I211">
        <f t="shared" si="4"/>
        <v>0.36599999999999999</v>
      </c>
      <c r="J211">
        <v>183</v>
      </c>
      <c r="K211">
        <f t="shared" si="5"/>
        <v>5464.4808743169397</v>
      </c>
    </row>
    <row r="212" spans="9:11" x14ac:dyDescent="0.25">
      <c r="I212">
        <f t="shared" si="4"/>
        <v>0.36799999999999999</v>
      </c>
      <c r="J212">
        <v>184</v>
      </c>
      <c r="K212">
        <f t="shared" si="5"/>
        <v>5434.782608695652</v>
      </c>
    </row>
    <row r="213" spans="9:11" x14ac:dyDescent="0.25">
      <c r="I213">
        <f t="shared" si="4"/>
        <v>0.37000000000000005</v>
      </c>
      <c r="J213">
        <v>185</v>
      </c>
      <c r="K213">
        <f t="shared" si="5"/>
        <v>5405.405405405405</v>
      </c>
    </row>
    <row r="214" spans="9:11" x14ac:dyDescent="0.25">
      <c r="I214">
        <f t="shared" si="4"/>
        <v>0.372</v>
      </c>
      <c r="J214">
        <v>186</v>
      </c>
      <c r="K214">
        <f t="shared" si="5"/>
        <v>5376.3440860215051</v>
      </c>
    </row>
    <row r="215" spans="9:11" x14ac:dyDescent="0.25">
      <c r="I215">
        <f t="shared" si="4"/>
        <v>0.374</v>
      </c>
      <c r="J215">
        <v>187</v>
      </c>
      <c r="K215">
        <f t="shared" si="5"/>
        <v>5347.5935828877009</v>
      </c>
    </row>
    <row r="216" spans="9:11" x14ac:dyDescent="0.25">
      <c r="I216">
        <f t="shared" si="4"/>
        <v>0.376</v>
      </c>
      <c r="J216">
        <v>188</v>
      </c>
      <c r="K216">
        <f t="shared" si="5"/>
        <v>5319.1489361702124</v>
      </c>
    </row>
    <row r="217" spans="9:11" x14ac:dyDescent="0.25">
      <c r="I217">
        <f t="shared" si="4"/>
        <v>0.378</v>
      </c>
      <c r="J217">
        <v>189</v>
      </c>
      <c r="K217">
        <f t="shared" si="5"/>
        <v>5291.0052910052909</v>
      </c>
    </row>
    <row r="218" spans="9:11" x14ac:dyDescent="0.25">
      <c r="I218">
        <f t="shared" si="4"/>
        <v>0.37999999999999995</v>
      </c>
      <c r="J218">
        <v>190</v>
      </c>
      <c r="K218">
        <f t="shared" si="5"/>
        <v>5263.1578947368425</v>
      </c>
    </row>
    <row r="219" spans="9:11" x14ac:dyDescent="0.25">
      <c r="I219">
        <f t="shared" si="4"/>
        <v>0.38200000000000001</v>
      </c>
      <c r="J219">
        <v>191</v>
      </c>
      <c r="K219">
        <f t="shared" si="5"/>
        <v>5235.6020942408377</v>
      </c>
    </row>
    <row r="220" spans="9:11" x14ac:dyDescent="0.25">
      <c r="I220">
        <f t="shared" si="4"/>
        <v>0.38400000000000001</v>
      </c>
      <c r="J220">
        <v>192</v>
      </c>
      <c r="K220">
        <f t="shared" si="5"/>
        <v>5208.333333333333</v>
      </c>
    </row>
    <row r="221" spans="9:11" x14ac:dyDescent="0.25">
      <c r="I221">
        <f t="shared" si="4"/>
        <v>0.38600000000000001</v>
      </c>
      <c r="J221">
        <v>193</v>
      </c>
      <c r="K221">
        <f t="shared" si="5"/>
        <v>5181.3471502590673</v>
      </c>
    </row>
    <row r="222" spans="9:11" x14ac:dyDescent="0.25">
      <c r="I222">
        <f t="shared" ref="I222:I285" si="6">$K$27/K222</f>
        <v>0.38800000000000001</v>
      </c>
      <c r="J222">
        <v>194</v>
      </c>
      <c r="K222">
        <f t="shared" ref="K222:K285" si="7">1000000/J222</f>
        <v>5154.6391752577319</v>
      </c>
    </row>
    <row r="223" spans="9:11" x14ac:dyDescent="0.25">
      <c r="I223">
        <f t="shared" si="6"/>
        <v>0.39</v>
      </c>
      <c r="J223">
        <v>195</v>
      </c>
      <c r="K223">
        <f t="shared" si="7"/>
        <v>5128.2051282051279</v>
      </c>
    </row>
    <row r="224" spans="9:11" x14ac:dyDescent="0.25">
      <c r="I224">
        <f t="shared" si="6"/>
        <v>0.39199999999999996</v>
      </c>
      <c r="J224">
        <v>196</v>
      </c>
      <c r="K224">
        <f t="shared" si="7"/>
        <v>5102.0408163265311</v>
      </c>
    </row>
    <row r="225" spans="9:11" x14ac:dyDescent="0.25">
      <c r="I225">
        <f t="shared" si="6"/>
        <v>0.39400000000000002</v>
      </c>
      <c r="J225">
        <v>197</v>
      </c>
      <c r="K225">
        <f t="shared" si="7"/>
        <v>5076.1421319796955</v>
      </c>
    </row>
    <row r="226" spans="9:11" x14ac:dyDescent="0.25">
      <c r="I226">
        <f t="shared" si="6"/>
        <v>0.39600000000000002</v>
      </c>
      <c r="J226">
        <v>198</v>
      </c>
      <c r="K226">
        <f t="shared" si="7"/>
        <v>5050.5050505050503</v>
      </c>
    </row>
    <row r="227" spans="9:11" x14ac:dyDescent="0.25">
      <c r="I227">
        <f t="shared" si="6"/>
        <v>0.39800000000000002</v>
      </c>
      <c r="J227">
        <v>199</v>
      </c>
      <c r="K227">
        <f t="shared" si="7"/>
        <v>5025.1256281407032</v>
      </c>
    </row>
    <row r="228" spans="9:11" x14ac:dyDescent="0.25">
      <c r="I228">
        <f t="shared" si="6"/>
        <v>0.4</v>
      </c>
      <c r="J228">
        <v>200</v>
      </c>
      <c r="K228">
        <f t="shared" si="7"/>
        <v>5000</v>
      </c>
    </row>
    <row r="229" spans="9:11" x14ac:dyDescent="0.25">
      <c r="I229">
        <f t="shared" si="6"/>
        <v>0.40200000000000002</v>
      </c>
      <c r="J229">
        <v>201</v>
      </c>
      <c r="K229">
        <f t="shared" si="7"/>
        <v>4975.1243781094527</v>
      </c>
    </row>
    <row r="230" spans="9:11" x14ac:dyDescent="0.25">
      <c r="I230">
        <f t="shared" si="6"/>
        <v>0.40399999999999997</v>
      </c>
      <c r="J230">
        <v>202</v>
      </c>
      <c r="K230">
        <f t="shared" si="7"/>
        <v>4950.4950495049507</v>
      </c>
    </row>
    <row r="231" spans="9:11" x14ac:dyDescent="0.25">
      <c r="I231">
        <f t="shared" si="6"/>
        <v>0.40600000000000003</v>
      </c>
      <c r="J231">
        <v>203</v>
      </c>
      <c r="K231">
        <f t="shared" si="7"/>
        <v>4926.1083743842364</v>
      </c>
    </row>
    <row r="232" spans="9:11" x14ac:dyDescent="0.25">
      <c r="I232">
        <f t="shared" si="6"/>
        <v>0.40799999999999997</v>
      </c>
      <c r="J232">
        <v>204</v>
      </c>
      <c r="K232">
        <f t="shared" si="7"/>
        <v>4901.9607843137255</v>
      </c>
    </row>
    <row r="233" spans="9:11" x14ac:dyDescent="0.25">
      <c r="I233">
        <f t="shared" si="6"/>
        <v>0.41000000000000003</v>
      </c>
      <c r="J233">
        <v>205</v>
      </c>
      <c r="K233">
        <f t="shared" si="7"/>
        <v>4878.0487804878048</v>
      </c>
    </row>
    <row r="234" spans="9:11" x14ac:dyDescent="0.25">
      <c r="I234">
        <f t="shared" si="6"/>
        <v>0.41200000000000003</v>
      </c>
      <c r="J234">
        <v>206</v>
      </c>
      <c r="K234">
        <f t="shared" si="7"/>
        <v>4854.3689320388348</v>
      </c>
    </row>
    <row r="235" spans="9:11" x14ac:dyDescent="0.25">
      <c r="I235">
        <f t="shared" si="6"/>
        <v>0.41399999999999998</v>
      </c>
      <c r="J235">
        <v>207</v>
      </c>
      <c r="K235">
        <f t="shared" si="7"/>
        <v>4830.9178743961356</v>
      </c>
    </row>
    <row r="236" spans="9:11" x14ac:dyDescent="0.25">
      <c r="I236">
        <f t="shared" si="6"/>
        <v>0.41599999999999998</v>
      </c>
      <c r="J236">
        <v>208</v>
      </c>
      <c r="K236">
        <f t="shared" si="7"/>
        <v>4807.6923076923076</v>
      </c>
    </row>
    <row r="237" spans="9:11" x14ac:dyDescent="0.25">
      <c r="I237">
        <f t="shared" si="6"/>
        <v>0.41800000000000004</v>
      </c>
      <c r="J237">
        <v>209</v>
      </c>
      <c r="K237">
        <f t="shared" si="7"/>
        <v>4784.6889952153106</v>
      </c>
    </row>
    <row r="238" spans="9:11" x14ac:dyDescent="0.25">
      <c r="I238">
        <f t="shared" si="6"/>
        <v>0.42000000000000004</v>
      </c>
      <c r="J238">
        <v>210</v>
      </c>
      <c r="K238">
        <f t="shared" si="7"/>
        <v>4761.9047619047615</v>
      </c>
    </row>
    <row r="239" spans="9:11" x14ac:dyDescent="0.25">
      <c r="I239">
        <f t="shared" si="6"/>
        <v>0.42200000000000004</v>
      </c>
      <c r="J239">
        <v>211</v>
      </c>
      <c r="K239">
        <f t="shared" si="7"/>
        <v>4739.336492890995</v>
      </c>
    </row>
    <row r="240" spans="9:11" x14ac:dyDescent="0.25">
      <c r="I240">
        <f t="shared" si="6"/>
        <v>0.42399999999999999</v>
      </c>
      <c r="J240">
        <v>212</v>
      </c>
      <c r="K240">
        <f t="shared" si="7"/>
        <v>4716.9811320754716</v>
      </c>
    </row>
    <row r="241" spans="9:11" x14ac:dyDescent="0.25">
      <c r="I241">
        <f t="shared" si="6"/>
        <v>0.42599999999999999</v>
      </c>
      <c r="J241">
        <v>213</v>
      </c>
      <c r="K241">
        <f t="shared" si="7"/>
        <v>4694.8356807511736</v>
      </c>
    </row>
    <row r="242" spans="9:11" x14ac:dyDescent="0.25">
      <c r="I242">
        <f t="shared" si="6"/>
        <v>0.42799999999999999</v>
      </c>
      <c r="J242">
        <v>214</v>
      </c>
      <c r="K242">
        <f t="shared" si="7"/>
        <v>4672.8971962616824</v>
      </c>
    </row>
    <row r="243" spans="9:11" x14ac:dyDescent="0.25">
      <c r="I243">
        <f t="shared" si="6"/>
        <v>0.43</v>
      </c>
      <c r="J243">
        <v>215</v>
      </c>
      <c r="K243">
        <f t="shared" si="7"/>
        <v>4651.1627906976746</v>
      </c>
    </row>
    <row r="244" spans="9:11" x14ac:dyDescent="0.25">
      <c r="I244">
        <f t="shared" si="6"/>
        <v>0.432</v>
      </c>
      <c r="J244">
        <v>216</v>
      </c>
      <c r="K244">
        <f t="shared" si="7"/>
        <v>4629.6296296296296</v>
      </c>
    </row>
    <row r="245" spans="9:11" x14ac:dyDescent="0.25">
      <c r="I245">
        <f t="shared" si="6"/>
        <v>0.434</v>
      </c>
      <c r="J245">
        <v>217</v>
      </c>
      <c r="K245">
        <f t="shared" si="7"/>
        <v>4608.294930875576</v>
      </c>
    </row>
    <row r="246" spans="9:11" x14ac:dyDescent="0.25">
      <c r="I246">
        <f t="shared" si="6"/>
        <v>0.43600000000000005</v>
      </c>
      <c r="J246">
        <v>218</v>
      </c>
      <c r="K246">
        <f t="shared" si="7"/>
        <v>4587.1559633027518</v>
      </c>
    </row>
    <row r="247" spans="9:11" x14ac:dyDescent="0.25">
      <c r="I247">
        <f t="shared" si="6"/>
        <v>0.43800000000000006</v>
      </c>
      <c r="J247">
        <v>219</v>
      </c>
      <c r="K247">
        <f t="shared" si="7"/>
        <v>4566.2100456621001</v>
      </c>
    </row>
    <row r="248" spans="9:11" x14ac:dyDescent="0.25">
      <c r="I248">
        <f t="shared" si="6"/>
        <v>0.44000000000000006</v>
      </c>
      <c r="J248">
        <v>220</v>
      </c>
      <c r="K248">
        <f t="shared" si="7"/>
        <v>4545.454545454545</v>
      </c>
    </row>
    <row r="249" spans="9:11" x14ac:dyDescent="0.25">
      <c r="I249">
        <f t="shared" si="6"/>
        <v>0.44200000000000006</v>
      </c>
      <c r="J249">
        <v>221</v>
      </c>
      <c r="K249">
        <f t="shared" si="7"/>
        <v>4524.8868778280539</v>
      </c>
    </row>
    <row r="250" spans="9:11" x14ac:dyDescent="0.25">
      <c r="I250">
        <f t="shared" si="6"/>
        <v>0.44400000000000001</v>
      </c>
      <c r="J250">
        <v>222</v>
      </c>
      <c r="K250">
        <f t="shared" si="7"/>
        <v>4504.5045045045044</v>
      </c>
    </row>
    <row r="251" spans="9:11" x14ac:dyDescent="0.25">
      <c r="I251">
        <f t="shared" si="6"/>
        <v>0.44600000000000006</v>
      </c>
      <c r="J251">
        <v>223</v>
      </c>
      <c r="K251">
        <f t="shared" si="7"/>
        <v>4484.3049327354256</v>
      </c>
    </row>
    <row r="252" spans="9:11" x14ac:dyDescent="0.25">
      <c r="I252">
        <f t="shared" si="6"/>
        <v>0.44799999999999995</v>
      </c>
      <c r="J252">
        <v>224</v>
      </c>
      <c r="K252">
        <f t="shared" si="7"/>
        <v>4464.2857142857147</v>
      </c>
    </row>
    <row r="253" spans="9:11" x14ac:dyDescent="0.25">
      <c r="I253">
        <f t="shared" si="6"/>
        <v>0.45</v>
      </c>
      <c r="J253">
        <v>225</v>
      </c>
      <c r="K253">
        <f t="shared" si="7"/>
        <v>4444.4444444444443</v>
      </c>
    </row>
    <row r="254" spans="9:11" x14ac:dyDescent="0.25">
      <c r="I254">
        <f t="shared" si="6"/>
        <v>0.45199999999999996</v>
      </c>
      <c r="J254">
        <v>226</v>
      </c>
      <c r="K254">
        <f t="shared" si="7"/>
        <v>4424.7787610619471</v>
      </c>
    </row>
    <row r="255" spans="9:11" x14ac:dyDescent="0.25">
      <c r="I255">
        <f t="shared" si="6"/>
        <v>0.45400000000000007</v>
      </c>
      <c r="J255">
        <v>227</v>
      </c>
      <c r="K255">
        <f t="shared" si="7"/>
        <v>4405.2863436123343</v>
      </c>
    </row>
    <row r="256" spans="9:11" x14ac:dyDescent="0.25">
      <c r="I256">
        <f t="shared" si="6"/>
        <v>0.45600000000000002</v>
      </c>
      <c r="J256">
        <v>228</v>
      </c>
      <c r="K256">
        <f t="shared" si="7"/>
        <v>4385.9649122807014</v>
      </c>
    </row>
    <row r="257" spans="9:11" x14ac:dyDescent="0.25">
      <c r="I257">
        <f t="shared" si="6"/>
        <v>0.45799999999999996</v>
      </c>
      <c r="J257">
        <v>229</v>
      </c>
      <c r="K257">
        <f t="shared" si="7"/>
        <v>4366.812227074236</v>
      </c>
    </row>
    <row r="258" spans="9:11" x14ac:dyDescent="0.25">
      <c r="I258">
        <f t="shared" si="6"/>
        <v>0.45999999999999996</v>
      </c>
      <c r="J258">
        <v>230</v>
      </c>
      <c r="K258">
        <f t="shared" si="7"/>
        <v>4347.826086956522</v>
      </c>
    </row>
    <row r="259" spans="9:11" x14ac:dyDescent="0.25">
      <c r="I259">
        <f t="shared" si="6"/>
        <v>0.46200000000000002</v>
      </c>
      <c r="J259">
        <v>231</v>
      </c>
      <c r="K259">
        <f t="shared" si="7"/>
        <v>4329.0043290043286</v>
      </c>
    </row>
    <row r="260" spans="9:11" x14ac:dyDescent="0.25">
      <c r="I260">
        <f t="shared" si="6"/>
        <v>0.46400000000000002</v>
      </c>
      <c r="J260">
        <v>232</v>
      </c>
      <c r="K260">
        <f t="shared" si="7"/>
        <v>4310.3448275862065</v>
      </c>
    </row>
    <row r="261" spans="9:11" x14ac:dyDescent="0.25">
      <c r="I261">
        <f t="shared" si="6"/>
        <v>0.46599999999999997</v>
      </c>
      <c r="J261">
        <v>233</v>
      </c>
      <c r="K261">
        <f t="shared" si="7"/>
        <v>4291.8454935622321</v>
      </c>
    </row>
    <row r="262" spans="9:11" x14ac:dyDescent="0.25">
      <c r="I262">
        <f t="shared" si="6"/>
        <v>0.46800000000000003</v>
      </c>
      <c r="J262">
        <v>234</v>
      </c>
      <c r="K262">
        <f t="shared" si="7"/>
        <v>4273.5042735042734</v>
      </c>
    </row>
    <row r="263" spans="9:11" x14ac:dyDescent="0.25">
      <c r="I263">
        <f t="shared" si="6"/>
        <v>0.47000000000000003</v>
      </c>
      <c r="J263">
        <v>235</v>
      </c>
      <c r="K263">
        <f t="shared" si="7"/>
        <v>4255.3191489361698</v>
      </c>
    </row>
    <row r="264" spans="9:11" x14ac:dyDescent="0.25">
      <c r="I264">
        <f t="shared" si="6"/>
        <v>0.47199999999999998</v>
      </c>
      <c r="J264">
        <v>236</v>
      </c>
      <c r="K264">
        <f t="shared" si="7"/>
        <v>4237.2881355932204</v>
      </c>
    </row>
    <row r="265" spans="9:11" x14ac:dyDescent="0.25">
      <c r="I265">
        <f t="shared" si="6"/>
        <v>0.47400000000000003</v>
      </c>
      <c r="J265">
        <v>237</v>
      </c>
      <c r="K265">
        <f t="shared" si="7"/>
        <v>4219.4092827004215</v>
      </c>
    </row>
    <row r="266" spans="9:11" x14ac:dyDescent="0.25">
      <c r="I266">
        <f t="shared" si="6"/>
        <v>0.47599999999999998</v>
      </c>
      <c r="J266">
        <v>238</v>
      </c>
      <c r="K266">
        <f t="shared" si="7"/>
        <v>4201.680672268908</v>
      </c>
    </row>
    <row r="267" spans="9:11" x14ac:dyDescent="0.25">
      <c r="I267">
        <f t="shared" si="6"/>
        <v>0.47799999999999998</v>
      </c>
      <c r="J267">
        <v>239</v>
      </c>
      <c r="K267">
        <f t="shared" si="7"/>
        <v>4184.100418410042</v>
      </c>
    </row>
    <row r="268" spans="9:11" x14ac:dyDescent="0.25">
      <c r="I268">
        <f t="shared" si="6"/>
        <v>0.48</v>
      </c>
      <c r="J268">
        <v>240</v>
      </c>
      <c r="K268">
        <f t="shared" si="7"/>
        <v>4166.666666666667</v>
      </c>
    </row>
    <row r="269" spans="9:11" x14ac:dyDescent="0.25">
      <c r="I269">
        <f t="shared" si="6"/>
        <v>0.48199999999999998</v>
      </c>
      <c r="J269">
        <v>241</v>
      </c>
      <c r="K269">
        <f t="shared" si="7"/>
        <v>4149.3775933609959</v>
      </c>
    </row>
    <row r="270" spans="9:11" x14ac:dyDescent="0.25">
      <c r="I270">
        <f t="shared" si="6"/>
        <v>0.48400000000000004</v>
      </c>
      <c r="J270">
        <v>242</v>
      </c>
      <c r="K270">
        <f t="shared" si="7"/>
        <v>4132.2314049586776</v>
      </c>
    </row>
    <row r="271" spans="9:11" x14ac:dyDescent="0.25">
      <c r="I271">
        <f t="shared" si="6"/>
        <v>0.48599999999999993</v>
      </c>
      <c r="J271">
        <v>243</v>
      </c>
      <c r="K271">
        <f t="shared" si="7"/>
        <v>4115.2263374485601</v>
      </c>
    </row>
    <row r="272" spans="9:11" x14ac:dyDescent="0.25">
      <c r="I272">
        <f t="shared" si="6"/>
        <v>0.48799999999999999</v>
      </c>
      <c r="J272">
        <v>244</v>
      </c>
      <c r="K272">
        <f t="shared" si="7"/>
        <v>4098.3606557377052</v>
      </c>
    </row>
    <row r="273" spans="9:11" x14ac:dyDescent="0.25">
      <c r="I273">
        <f t="shared" si="6"/>
        <v>0.49</v>
      </c>
      <c r="J273">
        <v>245</v>
      </c>
      <c r="K273">
        <f t="shared" si="7"/>
        <v>4081.6326530612246</v>
      </c>
    </row>
    <row r="274" spans="9:11" x14ac:dyDescent="0.25">
      <c r="I274">
        <f t="shared" si="6"/>
        <v>0.49199999999999999</v>
      </c>
      <c r="J274">
        <v>246</v>
      </c>
      <c r="K274">
        <f t="shared" si="7"/>
        <v>4065.040650406504</v>
      </c>
    </row>
    <row r="275" spans="9:11" x14ac:dyDescent="0.25">
      <c r="I275">
        <f t="shared" si="6"/>
        <v>0.49399999999999999</v>
      </c>
      <c r="J275">
        <v>247</v>
      </c>
      <c r="K275">
        <f t="shared" si="7"/>
        <v>4048.5829959514172</v>
      </c>
    </row>
    <row r="276" spans="9:11" x14ac:dyDescent="0.25">
      <c r="I276">
        <f t="shared" si="6"/>
        <v>0.496</v>
      </c>
      <c r="J276">
        <v>248</v>
      </c>
      <c r="K276">
        <f t="shared" si="7"/>
        <v>4032.2580645161293</v>
      </c>
    </row>
    <row r="277" spans="9:11" x14ac:dyDescent="0.25">
      <c r="I277">
        <f t="shared" si="6"/>
        <v>0.498</v>
      </c>
      <c r="J277">
        <v>249</v>
      </c>
      <c r="K277">
        <f t="shared" si="7"/>
        <v>4016.0642570281125</v>
      </c>
    </row>
    <row r="278" spans="9:11" x14ac:dyDescent="0.25">
      <c r="I278">
        <f t="shared" si="6"/>
        <v>0.5</v>
      </c>
      <c r="J278">
        <v>250</v>
      </c>
      <c r="K278">
        <f t="shared" si="7"/>
        <v>4000</v>
      </c>
    </row>
    <row r="279" spans="9:11" x14ac:dyDescent="0.25">
      <c r="I279">
        <f t="shared" si="6"/>
        <v>0.502</v>
      </c>
      <c r="J279">
        <v>251</v>
      </c>
      <c r="K279">
        <f t="shared" si="7"/>
        <v>3984.0637450199201</v>
      </c>
    </row>
    <row r="280" spans="9:11" x14ac:dyDescent="0.25">
      <c r="I280">
        <f t="shared" si="6"/>
        <v>0.504</v>
      </c>
      <c r="J280">
        <v>252</v>
      </c>
      <c r="K280">
        <f t="shared" si="7"/>
        <v>3968.2539682539682</v>
      </c>
    </row>
    <row r="281" spans="9:11" x14ac:dyDescent="0.25">
      <c r="I281">
        <f t="shared" si="6"/>
        <v>0.50600000000000001</v>
      </c>
      <c r="J281">
        <v>253</v>
      </c>
      <c r="K281">
        <f t="shared" si="7"/>
        <v>3952.5691699604745</v>
      </c>
    </row>
    <row r="282" spans="9:11" x14ac:dyDescent="0.25">
      <c r="I282">
        <f t="shared" si="6"/>
        <v>0.50800000000000001</v>
      </c>
      <c r="J282">
        <v>254</v>
      </c>
      <c r="K282">
        <f t="shared" si="7"/>
        <v>3937.0078740157483</v>
      </c>
    </row>
    <row r="283" spans="9:11" x14ac:dyDescent="0.25">
      <c r="I283">
        <f t="shared" si="6"/>
        <v>0.51</v>
      </c>
      <c r="J283">
        <v>255</v>
      </c>
      <c r="K283">
        <f t="shared" si="7"/>
        <v>3921.5686274509803</v>
      </c>
    </row>
    <row r="284" spans="9:11" x14ac:dyDescent="0.25">
      <c r="I284">
        <f t="shared" si="6"/>
        <v>0.51200000000000001</v>
      </c>
      <c r="J284">
        <v>256</v>
      </c>
      <c r="K284">
        <f t="shared" si="7"/>
        <v>3906.25</v>
      </c>
    </row>
    <row r="285" spans="9:11" x14ac:dyDescent="0.25">
      <c r="I285">
        <f t="shared" si="6"/>
        <v>0.51400000000000001</v>
      </c>
      <c r="J285">
        <v>257</v>
      </c>
      <c r="K285">
        <f t="shared" si="7"/>
        <v>3891.0505836575876</v>
      </c>
    </row>
    <row r="286" spans="9:11" x14ac:dyDescent="0.25">
      <c r="I286">
        <f t="shared" ref="I286:I349" si="8">$K$27/K286</f>
        <v>0.51600000000000001</v>
      </c>
      <c r="J286">
        <v>258</v>
      </c>
      <c r="K286">
        <f t="shared" ref="K286:K349" si="9">1000000/J286</f>
        <v>3875.968992248062</v>
      </c>
    </row>
    <row r="287" spans="9:11" x14ac:dyDescent="0.25">
      <c r="I287">
        <f t="shared" si="8"/>
        <v>0.51800000000000002</v>
      </c>
      <c r="J287">
        <v>259</v>
      </c>
      <c r="K287">
        <f t="shared" si="9"/>
        <v>3861.0038610038609</v>
      </c>
    </row>
    <row r="288" spans="9:11" x14ac:dyDescent="0.25">
      <c r="I288">
        <f t="shared" si="8"/>
        <v>0.52</v>
      </c>
      <c r="J288">
        <v>260</v>
      </c>
      <c r="K288">
        <f t="shared" si="9"/>
        <v>3846.1538461538462</v>
      </c>
    </row>
    <row r="289" spans="9:11" x14ac:dyDescent="0.25">
      <c r="I289">
        <f t="shared" si="8"/>
        <v>0.52200000000000002</v>
      </c>
      <c r="J289">
        <v>261</v>
      </c>
      <c r="K289">
        <f t="shared" si="9"/>
        <v>3831.4176245210729</v>
      </c>
    </row>
    <row r="290" spans="9:11" x14ac:dyDescent="0.25">
      <c r="I290">
        <f t="shared" si="8"/>
        <v>0.52400000000000002</v>
      </c>
      <c r="J290">
        <v>262</v>
      </c>
      <c r="K290">
        <f t="shared" si="9"/>
        <v>3816.7938931297708</v>
      </c>
    </row>
    <row r="291" spans="9:11" x14ac:dyDescent="0.25">
      <c r="I291">
        <f t="shared" si="8"/>
        <v>0.52600000000000002</v>
      </c>
      <c r="J291">
        <v>263</v>
      </c>
      <c r="K291">
        <f t="shared" si="9"/>
        <v>3802.2813688212927</v>
      </c>
    </row>
    <row r="292" spans="9:11" x14ac:dyDescent="0.25">
      <c r="I292">
        <f t="shared" si="8"/>
        <v>0.52800000000000002</v>
      </c>
      <c r="J292">
        <v>264</v>
      </c>
      <c r="K292">
        <f t="shared" si="9"/>
        <v>3787.878787878788</v>
      </c>
    </row>
    <row r="293" spans="9:11" x14ac:dyDescent="0.25">
      <c r="I293">
        <f t="shared" si="8"/>
        <v>0.53</v>
      </c>
      <c r="J293">
        <v>265</v>
      </c>
      <c r="K293">
        <f t="shared" si="9"/>
        <v>3773.5849056603774</v>
      </c>
    </row>
    <row r="294" spans="9:11" x14ac:dyDescent="0.25">
      <c r="I294">
        <f t="shared" si="8"/>
        <v>0.53200000000000003</v>
      </c>
      <c r="J294">
        <v>266</v>
      </c>
      <c r="K294">
        <f t="shared" si="9"/>
        <v>3759.3984962406016</v>
      </c>
    </row>
    <row r="295" spans="9:11" x14ac:dyDescent="0.25">
      <c r="I295">
        <f t="shared" si="8"/>
        <v>0.53400000000000003</v>
      </c>
      <c r="J295">
        <v>267</v>
      </c>
      <c r="K295">
        <f t="shared" si="9"/>
        <v>3745.318352059925</v>
      </c>
    </row>
    <row r="296" spans="9:11" x14ac:dyDescent="0.25">
      <c r="I296">
        <f t="shared" si="8"/>
        <v>0.53600000000000003</v>
      </c>
      <c r="J296">
        <v>268</v>
      </c>
      <c r="K296">
        <f t="shared" si="9"/>
        <v>3731.3432835820895</v>
      </c>
    </row>
    <row r="297" spans="9:11" x14ac:dyDescent="0.25">
      <c r="I297">
        <f t="shared" si="8"/>
        <v>0.53800000000000003</v>
      </c>
      <c r="J297">
        <v>269</v>
      </c>
      <c r="K297">
        <f t="shared" si="9"/>
        <v>3717.4721189591078</v>
      </c>
    </row>
    <row r="298" spans="9:11" x14ac:dyDescent="0.25">
      <c r="I298">
        <f t="shared" si="8"/>
        <v>0.53999999999999992</v>
      </c>
      <c r="J298">
        <v>270</v>
      </c>
      <c r="K298">
        <f t="shared" si="9"/>
        <v>3703.7037037037039</v>
      </c>
    </row>
    <row r="299" spans="9:11" x14ac:dyDescent="0.25">
      <c r="I299">
        <f t="shared" si="8"/>
        <v>0.54199999999999993</v>
      </c>
      <c r="J299">
        <v>271</v>
      </c>
      <c r="K299">
        <f t="shared" si="9"/>
        <v>3690.0369003690039</v>
      </c>
    </row>
    <row r="300" spans="9:11" x14ac:dyDescent="0.25">
      <c r="I300">
        <f t="shared" si="8"/>
        <v>0.54400000000000004</v>
      </c>
      <c r="J300">
        <v>272</v>
      </c>
      <c r="K300">
        <f t="shared" si="9"/>
        <v>3676.4705882352941</v>
      </c>
    </row>
    <row r="301" spans="9:11" x14ac:dyDescent="0.25">
      <c r="I301">
        <f t="shared" si="8"/>
        <v>0.54600000000000004</v>
      </c>
      <c r="J301">
        <v>273</v>
      </c>
      <c r="K301">
        <f t="shared" si="9"/>
        <v>3663.003663003663</v>
      </c>
    </row>
    <row r="302" spans="9:11" x14ac:dyDescent="0.25">
      <c r="I302">
        <f t="shared" si="8"/>
        <v>0.54799999999999993</v>
      </c>
      <c r="J302">
        <v>274</v>
      </c>
      <c r="K302">
        <f t="shared" si="9"/>
        <v>3649.6350364963505</v>
      </c>
    </row>
    <row r="303" spans="9:11" x14ac:dyDescent="0.25">
      <c r="I303">
        <f t="shared" si="8"/>
        <v>0.54999999999999993</v>
      </c>
      <c r="J303">
        <v>275</v>
      </c>
      <c r="K303">
        <f t="shared" si="9"/>
        <v>3636.3636363636365</v>
      </c>
    </row>
    <row r="304" spans="9:11" x14ac:dyDescent="0.25">
      <c r="I304">
        <f t="shared" si="8"/>
        <v>0.55200000000000005</v>
      </c>
      <c r="J304">
        <v>276</v>
      </c>
      <c r="K304">
        <f t="shared" si="9"/>
        <v>3623.1884057971015</v>
      </c>
    </row>
    <row r="305" spans="9:11" x14ac:dyDescent="0.25">
      <c r="I305">
        <f t="shared" si="8"/>
        <v>0.55400000000000005</v>
      </c>
      <c r="J305">
        <v>277</v>
      </c>
      <c r="K305">
        <f t="shared" si="9"/>
        <v>3610.1083032490974</v>
      </c>
    </row>
    <row r="306" spans="9:11" x14ac:dyDescent="0.25">
      <c r="I306">
        <f t="shared" si="8"/>
        <v>0.55600000000000005</v>
      </c>
      <c r="J306">
        <v>278</v>
      </c>
      <c r="K306">
        <f t="shared" si="9"/>
        <v>3597.1223021582732</v>
      </c>
    </row>
    <row r="307" spans="9:11" x14ac:dyDescent="0.25">
      <c r="I307">
        <f t="shared" si="8"/>
        <v>0.55799999999999994</v>
      </c>
      <c r="J307">
        <v>279</v>
      </c>
      <c r="K307">
        <f t="shared" si="9"/>
        <v>3584.2293906810037</v>
      </c>
    </row>
    <row r="308" spans="9:11" x14ac:dyDescent="0.25">
      <c r="I308">
        <f t="shared" si="8"/>
        <v>0.55999999999999994</v>
      </c>
      <c r="J308">
        <v>280</v>
      </c>
      <c r="K308">
        <f t="shared" si="9"/>
        <v>3571.4285714285716</v>
      </c>
    </row>
    <row r="309" spans="9:11" x14ac:dyDescent="0.25">
      <c r="I309">
        <f t="shared" si="8"/>
        <v>0.56199999999999994</v>
      </c>
      <c r="J309">
        <v>281</v>
      </c>
      <c r="K309">
        <f t="shared" si="9"/>
        <v>3558.7188612099644</v>
      </c>
    </row>
    <row r="310" spans="9:11" x14ac:dyDescent="0.25">
      <c r="I310">
        <f t="shared" si="8"/>
        <v>0.56399999999999995</v>
      </c>
      <c r="J310">
        <v>282</v>
      </c>
      <c r="K310">
        <f t="shared" si="9"/>
        <v>3546.0992907801419</v>
      </c>
    </row>
    <row r="311" spans="9:11" x14ac:dyDescent="0.25">
      <c r="I311">
        <f t="shared" si="8"/>
        <v>0.56599999999999995</v>
      </c>
      <c r="J311">
        <v>283</v>
      </c>
      <c r="K311">
        <f t="shared" si="9"/>
        <v>3533.5689045936397</v>
      </c>
    </row>
    <row r="312" spans="9:11" x14ac:dyDescent="0.25">
      <c r="I312">
        <f t="shared" si="8"/>
        <v>0.56800000000000006</v>
      </c>
      <c r="J312">
        <v>284</v>
      </c>
      <c r="K312">
        <f t="shared" si="9"/>
        <v>3521.1267605633802</v>
      </c>
    </row>
    <row r="313" spans="9:11" x14ac:dyDescent="0.25">
      <c r="I313">
        <f t="shared" si="8"/>
        <v>0.56999999999999995</v>
      </c>
      <c r="J313">
        <v>285</v>
      </c>
      <c r="K313">
        <f t="shared" si="9"/>
        <v>3508.7719298245615</v>
      </c>
    </row>
    <row r="314" spans="9:11" x14ac:dyDescent="0.25">
      <c r="I314">
        <f t="shared" si="8"/>
        <v>0.57199999999999995</v>
      </c>
      <c r="J314">
        <v>286</v>
      </c>
      <c r="K314">
        <f t="shared" si="9"/>
        <v>3496.5034965034965</v>
      </c>
    </row>
    <row r="315" spans="9:11" x14ac:dyDescent="0.25">
      <c r="I315">
        <f t="shared" si="8"/>
        <v>0.57400000000000007</v>
      </c>
      <c r="J315">
        <v>287</v>
      </c>
      <c r="K315">
        <f t="shared" si="9"/>
        <v>3484.320557491289</v>
      </c>
    </row>
    <row r="316" spans="9:11" x14ac:dyDescent="0.25">
      <c r="I316">
        <f t="shared" si="8"/>
        <v>0.57599999999999996</v>
      </c>
      <c r="J316">
        <v>288</v>
      </c>
      <c r="K316">
        <f t="shared" si="9"/>
        <v>3472.2222222222222</v>
      </c>
    </row>
    <row r="317" spans="9:11" x14ac:dyDescent="0.25">
      <c r="I317">
        <f t="shared" si="8"/>
        <v>0.57799999999999996</v>
      </c>
      <c r="J317">
        <v>289</v>
      </c>
      <c r="K317">
        <f t="shared" si="9"/>
        <v>3460.2076124567475</v>
      </c>
    </row>
    <row r="318" spans="9:11" x14ac:dyDescent="0.25">
      <c r="I318">
        <f t="shared" si="8"/>
        <v>0.57999999999999996</v>
      </c>
      <c r="J318">
        <v>290</v>
      </c>
      <c r="K318">
        <f t="shared" si="9"/>
        <v>3448.2758620689656</v>
      </c>
    </row>
    <row r="319" spans="9:11" x14ac:dyDescent="0.25">
      <c r="I319">
        <f t="shared" si="8"/>
        <v>0.58200000000000007</v>
      </c>
      <c r="J319">
        <v>291</v>
      </c>
      <c r="K319">
        <f t="shared" si="9"/>
        <v>3436.4261168384878</v>
      </c>
    </row>
    <row r="320" spans="9:11" x14ac:dyDescent="0.25">
      <c r="I320">
        <f t="shared" si="8"/>
        <v>0.58399999999999996</v>
      </c>
      <c r="J320">
        <v>292</v>
      </c>
      <c r="K320">
        <f t="shared" si="9"/>
        <v>3424.6575342465753</v>
      </c>
    </row>
    <row r="321" spans="9:11" x14ac:dyDescent="0.25">
      <c r="I321">
        <f t="shared" si="8"/>
        <v>0.58600000000000008</v>
      </c>
      <c r="J321">
        <v>293</v>
      </c>
      <c r="K321">
        <f t="shared" si="9"/>
        <v>3412.9692832764504</v>
      </c>
    </row>
    <row r="322" spans="9:11" x14ac:dyDescent="0.25">
      <c r="I322">
        <f t="shared" si="8"/>
        <v>0.58799999999999997</v>
      </c>
      <c r="J322">
        <v>294</v>
      </c>
      <c r="K322">
        <f t="shared" si="9"/>
        <v>3401.3605442176872</v>
      </c>
    </row>
    <row r="323" spans="9:11" x14ac:dyDescent="0.25">
      <c r="I323">
        <f t="shared" si="8"/>
        <v>0.59</v>
      </c>
      <c r="J323">
        <v>295</v>
      </c>
      <c r="K323">
        <f t="shared" si="9"/>
        <v>3389.8305084745762</v>
      </c>
    </row>
    <row r="324" spans="9:11" x14ac:dyDescent="0.25">
      <c r="I324">
        <f t="shared" si="8"/>
        <v>0.59199999999999997</v>
      </c>
      <c r="J324">
        <v>296</v>
      </c>
      <c r="K324">
        <f t="shared" si="9"/>
        <v>3378.3783783783783</v>
      </c>
    </row>
    <row r="325" spans="9:11" x14ac:dyDescent="0.25">
      <c r="I325">
        <f t="shared" si="8"/>
        <v>0.59399999999999997</v>
      </c>
      <c r="J325">
        <v>297</v>
      </c>
      <c r="K325">
        <f t="shared" si="9"/>
        <v>3367.0033670033672</v>
      </c>
    </row>
    <row r="326" spans="9:11" x14ac:dyDescent="0.25">
      <c r="I326">
        <f t="shared" si="8"/>
        <v>0.59599999999999997</v>
      </c>
      <c r="J326">
        <v>298</v>
      </c>
      <c r="K326">
        <f t="shared" si="9"/>
        <v>3355.7046979865772</v>
      </c>
    </row>
    <row r="327" spans="9:11" x14ac:dyDescent="0.25">
      <c r="I327">
        <f t="shared" si="8"/>
        <v>0.59799999999999998</v>
      </c>
      <c r="J327">
        <v>299</v>
      </c>
      <c r="K327">
        <f t="shared" si="9"/>
        <v>3344.4816053511704</v>
      </c>
    </row>
    <row r="328" spans="9:11" x14ac:dyDescent="0.25">
      <c r="I328">
        <f t="shared" si="8"/>
        <v>0.6</v>
      </c>
      <c r="J328">
        <v>300</v>
      </c>
      <c r="K328">
        <f t="shared" si="9"/>
        <v>3333.3333333333335</v>
      </c>
    </row>
    <row r="329" spans="9:11" x14ac:dyDescent="0.25">
      <c r="I329">
        <f t="shared" si="8"/>
        <v>0.60199999999999998</v>
      </c>
      <c r="J329">
        <v>301</v>
      </c>
      <c r="K329">
        <f t="shared" si="9"/>
        <v>3322.2591362126245</v>
      </c>
    </row>
    <row r="330" spans="9:11" x14ac:dyDescent="0.25">
      <c r="I330">
        <f t="shared" si="8"/>
        <v>0.60399999999999998</v>
      </c>
      <c r="J330">
        <v>302</v>
      </c>
      <c r="K330">
        <f t="shared" si="9"/>
        <v>3311.2582781456954</v>
      </c>
    </row>
    <row r="331" spans="9:11" x14ac:dyDescent="0.25">
      <c r="I331">
        <f t="shared" si="8"/>
        <v>0.60599999999999998</v>
      </c>
      <c r="J331">
        <v>303</v>
      </c>
      <c r="K331">
        <f t="shared" si="9"/>
        <v>3300.3300330033003</v>
      </c>
    </row>
    <row r="332" spans="9:11" x14ac:dyDescent="0.25">
      <c r="I332">
        <f t="shared" si="8"/>
        <v>0.60799999999999998</v>
      </c>
      <c r="J332">
        <v>304</v>
      </c>
      <c r="K332">
        <f t="shared" si="9"/>
        <v>3289.4736842105262</v>
      </c>
    </row>
    <row r="333" spans="9:11" x14ac:dyDescent="0.25">
      <c r="I333">
        <f t="shared" si="8"/>
        <v>0.61</v>
      </c>
      <c r="J333">
        <v>305</v>
      </c>
      <c r="K333">
        <f t="shared" si="9"/>
        <v>3278.688524590164</v>
      </c>
    </row>
    <row r="334" spans="9:11" x14ac:dyDescent="0.25">
      <c r="I334">
        <f t="shared" si="8"/>
        <v>0.61199999999999999</v>
      </c>
      <c r="J334">
        <v>306</v>
      </c>
      <c r="K334">
        <f t="shared" si="9"/>
        <v>3267.9738562091502</v>
      </c>
    </row>
    <row r="335" spans="9:11" x14ac:dyDescent="0.25">
      <c r="I335">
        <f t="shared" si="8"/>
        <v>0.61399999999999999</v>
      </c>
      <c r="J335">
        <v>307</v>
      </c>
      <c r="K335">
        <f t="shared" si="9"/>
        <v>3257.328990228013</v>
      </c>
    </row>
    <row r="336" spans="9:11" x14ac:dyDescent="0.25">
      <c r="I336">
        <f t="shared" si="8"/>
        <v>0.61599999999999999</v>
      </c>
      <c r="J336">
        <v>308</v>
      </c>
      <c r="K336">
        <f t="shared" si="9"/>
        <v>3246.7532467532469</v>
      </c>
    </row>
    <row r="337" spans="9:11" x14ac:dyDescent="0.25">
      <c r="I337">
        <f t="shared" si="8"/>
        <v>0.61799999999999999</v>
      </c>
      <c r="J337">
        <v>309</v>
      </c>
      <c r="K337">
        <f t="shared" si="9"/>
        <v>3236.2459546925566</v>
      </c>
    </row>
    <row r="338" spans="9:11" x14ac:dyDescent="0.25">
      <c r="I338">
        <f t="shared" si="8"/>
        <v>0.62</v>
      </c>
      <c r="J338">
        <v>310</v>
      </c>
      <c r="K338">
        <f t="shared" si="9"/>
        <v>3225.8064516129034</v>
      </c>
    </row>
    <row r="339" spans="9:11" x14ac:dyDescent="0.25">
      <c r="I339">
        <f t="shared" si="8"/>
        <v>0.622</v>
      </c>
      <c r="J339">
        <v>311</v>
      </c>
      <c r="K339">
        <f t="shared" si="9"/>
        <v>3215.4340836012861</v>
      </c>
    </row>
    <row r="340" spans="9:11" x14ac:dyDescent="0.25">
      <c r="I340">
        <f t="shared" si="8"/>
        <v>0.624</v>
      </c>
      <c r="J340">
        <v>312</v>
      </c>
      <c r="K340">
        <f t="shared" si="9"/>
        <v>3205.1282051282051</v>
      </c>
    </row>
    <row r="341" spans="9:11" x14ac:dyDescent="0.25">
      <c r="I341">
        <f t="shared" si="8"/>
        <v>0.626</v>
      </c>
      <c r="J341">
        <v>313</v>
      </c>
      <c r="K341">
        <f t="shared" si="9"/>
        <v>3194.8881789137381</v>
      </c>
    </row>
    <row r="342" spans="9:11" x14ac:dyDescent="0.25">
      <c r="I342">
        <f t="shared" si="8"/>
        <v>0.628</v>
      </c>
      <c r="J342">
        <v>314</v>
      </c>
      <c r="K342">
        <f t="shared" si="9"/>
        <v>3184.7133757961783</v>
      </c>
    </row>
    <row r="343" spans="9:11" x14ac:dyDescent="0.25">
      <c r="I343">
        <f t="shared" si="8"/>
        <v>0.63</v>
      </c>
      <c r="J343">
        <v>315</v>
      </c>
      <c r="K343">
        <f t="shared" si="9"/>
        <v>3174.6031746031745</v>
      </c>
    </row>
    <row r="344" spans="9:11" x14ac:dyDescent="0.25">
      <c r="I344">
        <f t="shared" si="8"/>
        <v>0.63200000000000001</v>
      </c>
      <c r="J344">
        <v>316</v>
      </c>
      <c r="K344">
        <f t="shared" si="9"/>
        <v>3164.5569620253164</v>
      </c>
    </row>
    <row r="345" spans="9:11" x14ac:dyDescent="0.25">
      <c r="I345">
        <f t="shared" si="8"/>
        <v>0.63400000000000001</v>
      </c>
      <c r="J345">
        <v>317</v>
      </c>
      <c r="K345">
        <f t="shared" si="9"/>
        <v>3154.5741324921137</v>
      </c>
    </row>
    <row r="346" spans="9:11" x14ac:dyDescent="0.25">
      <c r="I346">
        <f t="shared" si="8"/>
        <v>0.63600000000000001</v>
      </c>
      <c r="J346">
        <v>318</v>
      </c>
      <c r="K346">
        <f t="shared" si="9"/>
        <v>3144.6540880503144</v>
      </c>
    </row>
    <row r="347" spans="9:11" x14ac:dyDescent="0.25">
      <c r="I347">
        <f t="shared" si="8"/>
        <v>0.63800000000000001</v>
      </c>
      <c r="J347">
        <v>319</v>
      </c>
      <c r="K347">
        <f t="shared" si="9"/>
        <v>3134.7962382445139</v>
      </c>
    </row>
    <row r="348" spans="9:11" x14ac:dyDescent="0.25">
      <c r="I348">
        <f t="shared" si="8"/>
        <v>0.64</v>
      </c>
      <c r="J348">
        <v>320</v>
      </c>
      <c r="K348">
        <f t="shared" si="9"/>
        <v>3125</v>
      </c>
    </row>
    <row r="349" spans="9:11" x14ac:dyDescent="0.25">
      <c r="I349">
        <f t="shared" si="8"/>
        <v>0.64200000000000002</v>
      </c>
      <c r="J349">
        <v>321</v>
      </c>
      <c r="K349">
        <f t="shared" si="9"/>
        <v>3115.264797507788</v>
      </c>
    </row>
    <row r="350" spans="9:11" x14ac:dyDescent="0.25">
      <c r="I350">
        <f t="shared" ref="I350:I413" si="10">$K$27/K350</f>
        <v>0.64400000000000002</v>
      </c>
      <c r="J350">
        <v>322</v>
      </c>
      <c r="K350">
        <f t="shared" ref="K350:K413" si="11">1000000/J350</f>
        <v>3105.5900621118012</v>
      </c>
    </row>
    <row r="351" spans="9:11" x14ac:dyDescent="0.25">
      <c r="I351">
        <f t="shared" si="10"/>
        <v>0.64600000000000002</v>
      </c>
      <c r="J351">
        <v>323</v>
      </c>
      <c r="K351">
        <f t="shared" si="11"/>
        <v>3095.9752321981423</v>
      </c>
    </row>
    <row r="352" spans="9:11" x14ac:dyDescent="0.25">
      <c r="I352">
        <f t="shared" si="10"/>
        <v>0.64800000000000002</v>
      </c>
      <c r="J352">
        <v>324</v>
      </c>
      <c r="K352">
        <f t="shared" si="11"/>
        <v>3086.4197530864199</v>
      </c>
    </row>
    <row r="353" spans="9:11" x14ac:dyDescent="0.25">
      <c r="I353">
        <f t="shared" si="10"/>
        <v>0.64999999999999991</v>
      </c>
      <c r="J353">
        <v>325</v>
      </c>
      <c r="K353">
        <f t="shared" si="11"/>
        <v>3076.9230769230771</v>
      </c>
    </row>
    <row r="354" spans="9:11" x14ac:dyDescent="0.25">
      <c r="I354">
        <f t="shared" si="10"/>
        <v>0.65200000000000002</v>
      </c>
      <c r="J354">
        <v>326</v>
      </c>
      <c r="K354">
        <f t="shared" si="11"/>
        <v>3067.4846625766872</v>
      </c>
    </row>
    <row r="355" spans="9:11" x14ac:dyDescent="0.25">
      <c r="I355">
        <f t="shared" si="10"/>
        <v>0.65400000000000003</v>
      </c>
      <c r="J355">
        <v>327</v>
      </c>
      <c r="K355">
        <f t="shared" si="11"/>
        <v>3058.103975535168</v>
      </c>
    </row>
    <row r="356" spans="9:11" x14ac:dyDescent="0.25">
      <c r="I356">
        <f t="shared" si="10"/>
        <v>0.65599999999999992</v>
      </c>
      <c r="J356">
        <v>328</v>
      </c>
      <c r="K356">
        <f t="shared" si="11"/>
        <v>3048.7804878048782</v>
      </c>
    </row>
    <row r="357" spans="9:11" x14ac:dyDescent="0.25">
      <c r="I357">
        <f t="shared" si="10"/>
        <v>0.65800000000000003</v>
      </c>
      <c r="J357">
        <v>329</v>
      </c>
      <c r="K357">
        <f t="shared" si="11"/>
        <v>3039.5136778115502</v>
      </c>
    </row>
    <row r="358" spans="9:11" x14ac:dyDescent="0.25">
      <c r="I358">
        <f t="shared" si="10"/>
        <v>0.65999999999999992</v>
      </c>
      <c r="J358">
        <v>330</v>
      </c>
      <c r="K358">
        <f t="shared" si="11"/>
        <v>3030.3030303030305</v>
      </c>
    </row>
    <row r="359" spans="9:11" x14ac:dyDescent="0.25">
      <c r="I359">
        <f t="shared" si="10"/>
        <v>0.66200000000000003</v>
      </c>
      <c r="J359">
        <v>331</v>
      </c>
      <c r="K359">
        <f t="shared" si="11"/>
        <v>3021.1480362537764</v>
      </c>
    </row>
    <row r="360" spans="9:11" x14ac:dyDescent="0.25">
      <c r="I360">
        <f t="shared" si="10"/>
        <v>0.66400000000000003</v>
      </c>
      <c r="J360">
        <v>332</v>
      </c>
      <c r="K360">
        <f t="shared" si="11"/>
        <v>3012.0481927710844</v>
      </c>
    </row>
    <row r="361" spans="9:11" x14ac:dyDescent="0.25">
      <c r="I361">
        <f t="shared" si="10"/>
        <v>0.66600000000000004</v>
      </c>
      <c r="J361">
        <v>333</v>
      </c>
      <c r="K361">
        <f t="shared" si="11"/>
        <v>3003.003003003003</v>
      </c>
    </row>
    <row r="362" spans="9:11" x14ac:dyDescent="0.25">
      <c r="I362">
        <f t="shared" si="10"/>
        <v>0.66800000000000004</v>
      </c>
      <c r="J362">
        <v>334</v>
      </c>
      <c r="K362">
        <f t="shared" si="11"/>
        <v>2994.0119760479042</v>
      </c>
    </row>
    <row r="363" spans="9:11" x14ac:dyDescent="0.25">
      <c r="I363">
        <f t="shared" si="10"/>
        <v>0.67</v>
      </c>
      <c r="J363">
        <v>335</v>
      </c>
      <c r="K363">
        <f t="shared" si="11"/>
        <v>2985.0746268656717</v>
      </c>
    </row>
    <row r="364" spans="9:11" x14ac:dyDescent="0.25">
      <c r="I364">
        <f t="shared" si="10"/>
        <v>0.67200000000000004</v>
      </c>
      <c r="J364">
        <v>336</v>
      </c>
      <c r="K364">
        <f t="shared" si="11"/>
        <v>2976.1904761904761</v>
      </c>
    </row>
    <row r="365" spans="9:11" x14ac:dyDescent="0.25">
      <c r="I365">
        <f t="shared" si="10"/>
        <v>0.67399999999999993</v>
      </c>
      <c r="J365">
        <v>337</v>
      </c>
      <c r="K365">
        <f t="shared" si="11"/>
        <v>2967.359050445104</v>
      </c>
    </row>
    <row r="366" spans="9:11" x14ac:dyDescent="0.25">
      <c r="I366">
        <f t="shared" si="10"/>
        <v>0.67599999999999993</v>
      </c>
      <c r="J366">
        <v>338</v>
      </c>
      <c r="K366">
        <f t="shared" si="11"/>
        <v>2958.5798816568049</v>
      </c>
    </row>
    <row r="367" spans="9:11" x14ac:dyDescent="0.25">
      <c r="I367">
        <f t="shared" si="10"/>
        <v>0.67799999999999994</v>
      </c>
      <c r="J367">
        <v>339</v>
      </c>
      <c r="K367">
        <f t="shared" si="11"/>
        <v>2949.8525073746314</v>
      </c>
    </row>
    <row r="368" spans="9:11" x14ac:dyDescent="0.25">
      <c r="I368">
        <f t="shared" si="10"/>
        <v>0.68</v>
      </c>
      <c r="J368">
        <v>340</v>
      </c>
      <c r="K368">
        <f t="shared" si="11"/>
        <v>2941.1764705882351</v>
      </c>
    </row>
    <row r="369" spans="9:11" x14ac:dyDescent="0.25">
      <c r="I369">
        <f t="shared" si="10"/>
        <v>0.68200000000000005</v>
      </c>
      <c r="J369">
        <v>341</v>
      </c>
      <c r="K369">
        <f t="shared" si="11"/>
        <v>2932.5513196480938</v>
      </c>
    </row>
    <row r="370" spans="9:11" x14ac:dyDescent="0.25">
      <c r="I370">
        <f t="shared" si="10"/>
        <v>0.68400000000000005</v>
      </c>
      <c r="J370">
        <v>342</v>
      </c>
      <c r="K370">
        <f t="shared" si="11"/>
        <v>2923.9766081871344</v>
      </c>
    </row>
    <row r="371" spans="9:11" x14ac:dyDescent="0.25">
      <c r="I371">
        <f t="shared" si="10"/>
        <v>0.68599999999999994</v>
      </c>
      <c r="J371">
        <v>343</v>
      </c>
      <c r="K371">
        <f t="shared" si="11"/>
        <v>2915.4518950437318</v>
      </c>
    </row>
    <row r="372" spans="9:11" x14ac:dyDescent="0.25">
      <c r="I372">
        <f t="shared" si="10"/>
        <v>0.68800000000000006</v>
      </c>
      <c r="J372">
        <v>344</v>
      </c>
      <c r="K372">
        <f t="shared" si="11"/>
        <v>2906.9767441860463</v>
      </c>
    </row>
    <row r="373" spans="9:11" x14ac:dyDescent="0.25">
      <c r="I373">
        <f t="shared" si="10"/>
        <v>0.69000000000000006</v>
      </c>
      <c r="J373">
        <v>345</v>
      </c>
      <c r="K373">
        <f t="shared" si="11"/>
        <v>2898.550724637681</v>
      </c>
    </row>
    <row r="374" spans="9:11" x14ac:dyDescent="0.25">
      <c r="I374">
        <f t="shared" si="10"/>
        <v>0.69200000000000006</v>
      </c>
      <c r="J374">
        <v>346</v>
      </c>
      <c r="K374">
        <f t="shared" si="11"/>
        <v>2890.1734104046241</v>
      </c>
    </row>
    <row r="375" spans="9:11" x14ac:dyDescent="0.25">
      <c r="I375">
        <f t="shared" si="10"/>
        <v>0.69399999999999995</v>
      </c>
      <c r="J375">
        <v>347</v>
      </c>
      <c r="K375">
        <f t="shared" si="11"/>
        <v>2881.8443804034582</v>
      </c>
    </row>
    <row r="376" spans="9:11" x14ac:dyDescent="0.25">
      <c r="I376">
        <f t="shared" si="10"/>
        <v>0.69599999999999995</v>
      </c>
      <c r="J376">
        <v>348</v>
      </c>
      <c r="K376">
        <f t="shared" si="11"/>
        <v>2873.5632183908046</v>
      </c>
    </row>
    <row r="377" spans="9:11" x14ac:dyDescent="0.25">
      <c r="I377">
        <f t="shared" si="10"/>
        <v>0.69800000000000006</v>
      </c>
      <c r="J377">
        <v>349</v>
      </c>
      <c r="K377">
        <f t="shared" si="11"/>
        <v>2865.3295128939826</v>
      </c>
    </row>
    <row r="378" spans="9:11" x14ac:dyDescent="0.25">
      <c r="I378">
        <f t="shared" si="10"/>
        <v>0.7</v>
      </c>
      <c r="J378">
        <v>350</v>
      </c>
      <c r="K378">
        <f t="shared" si="11"/>
        <v>2857.1428571428573</v>
      </c>
    </row>
    <row r="379" spans="9:11" x14ac:dyDescent="0.25">
      <c r="I379">
        <f t="shared" si="10"/>
        <v>0.70199999999999996</v>
      </c>
      <c r="J379">
        <v>351</v>
      </c>
      <c r="K379">
        <f t="shared" si="11"/>
        <v>2849.002849002849</v>
      </c>
    </row>
    <row r="380" spans="9:11" x14ac:dyDescent="0.25">
      <c r="I380">
        <f t="shared" si="10"/>
        <v>0.70399999999999996</v>
      </c>
      <c r="J380">
        <v>352</v>
      </c>
      <c r="K380">
        <f t="shared" si="11"/>
        <v>2840.909090909091</v>
      </c>
    </row>
    <row r="381" spans="9:11" x14ac:dyDescent="0.25">
      <c r="I381">
        <f t="shared" si="10"/>
        <v>0.70599999999999996</v>
      </c>
      <c r="J381">
        <v>353</v>
      </c>
      <c r="K381">
        <f t="shared" si="11"/>
        <v>2832.8611898016998</v>
      </c>
    </row>
    <row r="382" spans="9:11" x14ac:dyDescent="0.25">
      <c r="I382">
        <f t="shared" si="10"/>
        <v>0.70799999999999996</v>
      </c>
      <c r="J382">
        <v>354</v>
      </c>
      <c r="K382">
        <f t="shared" si="11"/>
        <v>2824.8587570621471</v>
      </c>
    </row>
    <row r="383" spans="9:11" x14ac:dyDescent="0.25">
      <c r="I383">
        <f t="shared" si="10"/>
        <v>0.71</v>
      </c>
      <c r="J383">
        <v>355</v>
      </c>
      <c r="K383">
        <f t="shared" si="11"/>
        <v>2816.9014084507044</v>
      </c>
    </row>
    <row r="384" spans="9:11" x14ac:dyDescent="0.25">
      <c r="I384">
        <f t="shared" si="10"/>
        <v>0.71199999999999997</v>
      </c>
      <c r="J384">
        <v>356</v>
      </c>
      <c r="K384">
        <f t="shared" si="11"/>
        <v>2808.9887640449438</v>
      </c>
    </row>
    <row r="385" spans="9:11" x14ac:dyDescent="0.25">
      <c r="I385">
        <f t="shared" si="10"/>
        <v>0.71400000000000008</v>
      </c>
      <c r="J385">
        <v>357</v>
      </c>
      <c r="K385">
        <f t="shared" si="11"/>
        <v>2801.1204481792715</v>
      </c>
    </row>
    <row r="386" spans="9:11" x14ac:dyDescent="0.25">
      <c r="I386">
        <f t="shared" si="10"/>
        <v>0.71600000000000008</v>
      </c>
      <c r="J386">
        <v>358</v>
      </c>
      <c r="K386">
        <f t="shared" si="11"/>
        <v>2793.2960893854747</v>
      </c>
    </row>
    <row r="387" spans="9:11" x14ac:dyDescent="0.25">
      <c r="I387">
        <f t="shared" si="10"/>
        <v>0.71799999999999997</v>
      </c>
      <c r="J387">
        <v>359</v>
      </c>
      <c r="K387">
        <f t="shared" si="11"/>
        <v>2785.515320334262</v>
      </c>
    </row>
    <row r="388" spans="9:11" x14ac:dyDescent="0.25">
      <c r="I388">
        <f t="shared" si="10"/>
        <v>0.72</v>
      </c>
      <c r="J388">
        <v>360</v>
      </c>
      <c r="K388">
        <f t="shared" si="11"/>
        <v>2777.7777777777778</v>
      </c>
    </row>
    <row r="389" spans="9:11" x14ac:dyDescent="0.25">
      <c r="I389">
        <f t="shared" si="10"/>
        <v>0.72199999999999998</v>
      </c>
      <c r="J389">
        <v>361</v>
      </c>
      <c r="K389">
        <f t="shared" si="11"/>
        <v>2770.0831024930749</v>
      </c>
    </row>
    <row r="390" spans="9:11" x14ac:dyDescent="0.25">
      <c r="I390">
        <f t="shared" si="10"/>
        <v>0.72399999999999998</v>
      </c>
      <c r="J390">
        <v>362</v>
      </c>
      <c r="K390">
        <f t="shared" si="11"/>
        <v>2762.4309392265195</v>
      </c>
    </row>
    <row r="391" spans="9:11" x14ac:dyDescent="0.25">
      <c r="I391">
        <f t="shared" si="10"/>
        <v>0.72599999999999998</v>
      </c>
      <c r="J391">
        <v>363</v>
      </c>
      <c r="K391">
        <f t="shared" si="11"/>
        <v>2754.8209366391184</v>
      </c>
    </row>
    <row r="392" spans="9:11" x14ac:dyDescent="0.25">
      <c r="I392">
        <f t="shared" si="10"/>
        <v>0.72799999999999998</v>
      </c>
      <c r="J392">
        <v>364</v>
      </c>
      <c r="K392">
        <f t="shared" si="11"/>
        <v>2747.2527472527472</v>
      </c>
    </row>
    <row r="393" spans="9:11" x14ac:dyDescent="0.25">
      <c r="I393">
        <f t="shared" si="10"/>
        <v>0.73</v>
      </c>
      <c r="J393">
        <v>365</v>
      </c>
      <c r="K393">
        <f t="shared" si="11"/>
        <v>2739.7260273972602</v>
      </c>
    </row>
    <row r="394" spans="9:11" x14ac:dyDescent="0.25">
      <c r="I394">
        <f t="shared" si="10"/>
        <v>0.73199999999999998</v>
      </c>
      <c r="J394">
        <v>366</v>
      </c>
      <c r="K394">
        <f t="shared" si="11"/>
        <v>2732.2404371584698</v>
      </c>
    </row>
    <row r="395" spans="9:11" x14ac:dyDescent="0.25">
      <c r="I395">
        <f t="shared" si="10"/>
        <v>0.73399999999999999</v>
      </c>
      <c r="J395">
        <v>367</v>
      </c>
      <c r="K395">
        <f t="shared" si="11"/>
        <v>2724.7956403269754</v>
      </c>
    </row>
    <row r="396" spans="9:11" x14ac:dyDescent="0.25">
      <c r="I396">
        <f t="shared" si="10"/>
        <v>0.73599999999999999</v>
      </c>
      <c r="J396">
        <v>368</v>
      </c>
      <c r="K396">
        <f t="shared" si="11"/>
        <v>2717.391304347826</v>
      </c>
    </row>
    <row r="397" spans="9:11" x14ac:dyDescent="0.25">
      <c r="I397">
        <f t="shared" si="10"/>
        <v>0.73799999999999999</v>
      </c>
      <c r="J397">
        <v>369</v>
      </c>
      <c r="K397">
        <f t="shared" si="11"/>
        <v>2710.0271002710028</v>
      </c>
    </row>
    <row r="398" spans="9:11" x14ac:dyDescent="0.25">
      <c r="I398">
        <f t="shared" si="10"/>
        <v>0.7400000000000001</v>
      </c>
      <c r="J398">
        <v>370</v>
      </c>
      <c r="K398">
        <f t="shared" si="11"/>
        <v>2702.7027027027025</v>
      </c>
    </row>
    <row r="399" spans="9:11" x14ac:dyDescent="0.25">
      <c r="I399">
        <f t="shared" si="10"/>
        <v>0.74199999999999999</v>
      </c>
      <c r="J399">
        <v>371</v>
      </c>
      <c r="K399">
        <f t="shared" si="11"/>
        <v>2695.4177897574123</v>
      </c>
    </row>
    <row r="400" spans="9:11" x14ac:dyDescent="0.25">
      <c r="I400">
        <f t="shared" si="10"/>
        <v>0.74399999999999999</v>
      </c>
      <c r="J400">
        <v>372</v>
      </c>
      <c r="K400">
        <f t="shared" si="11"/>
        <v>2688.1720430107525</v>
      </c>
    </row>
    <row r="401" spans="9:11" x14ac:dyDescent="0.25">
      <c r="I401">
        <f t="shared" si="10"/>
        <v>0.746</v>
      </c>
      <c r="J401">
        <v>373</v>
      </c>
      <c r="K401">
        <f t="shared" si="11"/>
        <v>2680.9651474530833</v>
      </c>
    </row>
    <row r="402" spans="9:11" x14ac:dyDescent="0.25">
      <c r="I402">
        <f t="shared" si="10"/>
        <v>0.748</v>
      </c>
      <c r="J402">
        <v>374</v>
      </c>
      <c r="K402">
        <f t="shared" si="11"/>
        <v>2673.7967914438505</v>
      </c>
    </row>
    <row r="403" spans="9:11" x14ac:dyDescent="0.25">
      <c r="I403">
        <f t="shared" si="10"/>
        <v>0.75</v>
      </c>
      <c r="J403">
        <v>375</v>
      </c>
      <c r="K403">
        <f t="shared" si="11"/>
        <v>2666.6666666666665</v>
      </c>
    </row>
    <row r="404" spans="9:11" x14ac:dyDescent="0.25">
      <c r="I404">
        <f t="shared" si="10"/>
        <v>0.752</v>
      </c>
      <c r="J404">
        <v>376</v>
      </c>
      <c r="K404">
        <f t="shared" si="11"/>
        <v>2659.5744680851062</v>
      </c>
    </row>
    <row r="405" spans="9:11" x14ac:dyDescent="0.25">
      <c r="I405">
        <f t="shared" si="10"/>
        <v>0.754</v>
      </c>
      <c r="J405">
        <v>377</v>
      </c>
      <c r="K405">
        <f t="shared" si="11"/>
        <v>2652.5198938992044</v>
      </c>
    </row>
    <row r="406" spans="9:11" x14ac:dyDescent="0.25">
      <c r="I406">
        <f t="shared" si="10"/>
        <v>0.75600000000000001</v>
      </c>
      <c r="J406">
        <v>378</v>
      </c>
      <c r="K406">
        <f t="shared" si="11"/>
        <v>2645.5026455026455</v>
      </c>
    </row>
    <row r="407" spans="9:11" x14ac:dyDescent="0.25">
      <c r="I407">
        <f t="shared" si="10"/>
        <v>0.75800000000000001</v>
      </c>
      <c r="J407">
        <v>379</v>
      </c>
      <c r="K407">
        <f t="shared" si="11"/>
        <v>2638.5224274406332</v>
      </c>
    </row>
    <row r="408" spans="9:11" x14ac:dyDescent="0.25">
      <c r="I408">
        <f t="shared" si="10"/>
        <v>0.7599999999999999</v>
      </c>
      <c r="J408">
        <v>380</v>
      </c>
      <c r="K408">
        <f t="shared" si="11"/>
        <v>2631.5789473684213</v>
      </c>
    </row>
    <row r="409" spans="9:11" x14ac:dyDescent="0.25">
      <c r="I409">
        <f t="shared" si="10"/>
        <v>0.76200000000000001</v>
      </c>
      <c r="J409">
        <v>381</v>
      </c>
      <c r="K409">
        <f t="shared" si="11"/>
        <v>2624.6719160104985</v>
      </c>
    </row>
    <row r="410" spans="9:11" x14ac:dyDescent="0.25">
      <c r="I410">
        <f t="shared" si="10"/>
        <v>0.76400000000000001</v>
      </c>
      <c r="J410">
        <v>382</v>
      </c>
      <c r="K410">
        <f t="shared" si="11"/>
        <v>2617.8010471204188</v>
      </c>
    </row>
    <row r="411" spans="9:11" x14ac:dyDescent="0.25">
      <c r="I411">
        <f t="shared" si="10"/>
        <v>0.76600000000000001</v>
      </c>
      <c r="J411">
        <v>383</v>
      </c>
      <c r="K411">
        <f t="shared" si="11"/>
        <v>2610.9660574412533</v>
      </c>
    </row>
    <row r="412" spans="9:11" x14ac:dyDescent="0.25">
      <c r="I412">
        <f t="shared" si="10"/>
        <v>0.76800000000000002</v>
      </c>
      <c r="J412">
        <v>384</v>
      </c>
      <c r="K412">
        <f t="shared" si="11"/>
        <v>2604.1666666666665</v>
      </c>
    </row>
    <row r="413" spans="9:11" x14ac:dyDescent="0.25">
      <c r="I413">
        <f t="shared" si="10"/>
        <v>0.76999999999999991</v>
      </c>
      <c r="J413">
        <v>385</v>
      </c>
      <c r="K413">
        <f t="shared" si="11"/>
        <v>2597.4025974025976</v>
      </c>
    </row>
    <row r="414" spans="9:11" x14ac:dyDescent="0.25">
      <c r="I414">
        <f t="shared" ref="I414:I477" si="12">$K$27/K414</f>
        <v>0.77200000000000002</v>
      </c>
      <c r="J414">
        <v>386</v>
      </c>
      <c r="K414">
        <f t="shared" ref="K414:K477" si="13">1000000/J414</f>
        <v>2590.6735751295337</v>
      </c>
    </row>
    <row r="415" spans="9:11" x14ac:dyDescent="0.25">
      <c r="I415">
        <f t="shared" si="12"/>
        <v>0.77400000000000002</v>
      </c>
      <c r="J415">
        <v>387</v>
      </c>
      <c r="K415">
        <f t="shared" si="13"/>
        <v>2583.9793281653747</v>
      </c>
    </row>
    <row r="416" spans="9:11" x14ac:dyDescent="0.25">
      <c r="I416">
        <f t="shared" si="12"/>
        <v>0.77600000000000002</v>
      </c>
      <c r="J416">
        <v>388</v>
      </c>
      <c r="K416">
        <f t="shared" si="13"/>
        <v>2577.319587628866</v>
      </c>
    </row>
    <row r="417" spans="9:11" x14ac:dyDescent="0.25">
      <c r="I417">
        <f t="shared" si="12"/>
        <v>0.77800000000000002</v>
      </c>
      <c r="J417">
        <v>389</v>
      </c>
      <c r="K417">
        <f t="shared" si="13"/>
        <v>2570.694087403599</v>
      </c>
    </row>
    <row r="418" spans="9:11" x14ac:dyDescent="0.25">
      <c r="I418">
        <f t="shared" si="12"/>
        <v>0.78</v>
      </c>
      <c r="J418">
        <v>390</v>
      </c>
      <c r="K418">
        <f t="shared" si="13"/>
        <v>2564.102564102564</v>
      </c>
    </row>
    <row r="419" spans="9:11" x14ac:dyDescent="0.25">
      <c r="I419">
        <f t="shared" si="12"/>
        <v>0.78200000000000003</v>
      </c>
      <c r="J419">
        <v>391</v>
      </c>
      <c r="K419">
        <f t="shared" si="13"/>
        <v>2557.5447570332481</v>
      </c>
    </row>
    <row r="420" spans="9:11" x14ac:dyDescent="0.25">
      <c r="I420">
        <f t="shared" si="12"/>
        <v>0.78399999999999992</v>
      </c>
      <c r="J420">
        <v>392</v>
      </c>
      <c r="K420">
        <f t="shared" si="13"/>
        <v>2551.0204081632655</v>
      </c>
    </row>
    <row r="421" spans="9:11" x14ac:dyDescent="0.25">
      <c r="I421">
        <f t="shared" si="12"/>
        <v>0.78600000000000003</v>
      </c>
      <c r="J421">
        <v>393</v>
      </c>
      <c r="K421">
        <f t="shared" si="13"/>
        <v>2544.5292620865139</v>
      </c>
    </row>
    <row r="422" spans="9:11" x14ac:dyDescent="0.25">
      <c r="I422">
        <f t="shared" si="12"/>
        <v>0.78800000000000003</v>
      </c>
      <c r="J422">
        <v>394</v>
      </c>
      <c r="K422">
        <f t="shared" si="13"/>
        <v>2538.0710659898477</v>
      </c>
    </row>
    <row r="423" spans="9:11" x14ac:dyDescent="0.25">
      <c r="I423">
        <f t="shared" si="12"/>
        <v>0.78999999999999992</v>
      </c>
      <c r="J423">
        <v>395</v>
      </c>
      <c r="K423">
        <f t="shared" si="13"/>
        <v>2531.6455696202534</v>
      </c>
    </row>
    <row r="424" spans="9:11" x14ac:dyDescent="0.25">
      <c r="I424">
        <f t="shared" si="12"/>
        <v>0.79200000000000004</v>
      </c>
      <c r="J424">
        <v>396</v>
      </c>
      <c r="K424">
        <f t="shared" si="13"/>
        <v>2525.2525252525252</v>
      </c>
    </row>
    <row r="425" spans="9:11" x14ac:dyDescent="0.25">
      <c r="I425">
        <f t="shared" si="12"/>
        <v>0.79399999999999993</v>
      </c>
      <c r="J425">
        <v>397</v>
      </c>
      <c r="K425">
        <f t="shared" si="13"/>
        <v>2518.8916876574308</v>
      </c>
    </row>
    <row r="426" spans="9:11" x14ac:dyDescent="0.25">
      <c r="I426">
        <f t="shared" si="12"/>
        <v>0.79600000000000004</v>
      </c>
      <c r="J426">
        <v>398</v>
      </c>
      <c r="K426">
        <f t="shared" si="13"/>
        <v>2512.5628140703516</v>
      </c>
    </row>
    <row r="427" spans="9:11" x14ac:dyDescent="0.25">
      <c r="I427">
        <f t="shared" si="12"/>
        <v>0.79799999999999993</v>
      </c>
      <c r="J427">
        <v>399</v>
      </c>
      <c r="K427">
        <f t="shared" si="13"/>
        <v>2506.2656641604012</v>
      </c>
    </row>
    <row r="428" spans="9:11" x14ac:dyDescent="0.25">
      <c r="I428">
        <f t="shared" si="12"/>
        <v>0.8</v>
      </c>
      <c r="J428">
        <v>400</v>
      </c>
      <c r="K428">
        <f t="shared" si="13"/>
        <v>2500</v>
      </c>
    </row>
    <row r="429" spans="9:11" x14ac:dyDescent="0.25">
      <c r="I429">
        <f t="shared" si="12"/>
        <v>0.80199999999999994</v>
      </c>
      <c r="J429">
        <v>401</v>
      </c>
      <c r="K429">
        <f t="shared" si="13"/>
        <v>2493.7655860349128</v>
      </c>
    </row>
    <row r="430" spans="9:11" x14ac:dyDescent="0.25">
      <c r="I430">
        <f t="shared" si="12"/>
        <v>0.80400000000000005</v>
      </c>
      <c r="J430">
        <v>402</v>
      </c>
      <c r="K430">
        <f t="shared" si="13"/>
        <v>2487.5621890547263</v>
      </c>
    </row>
    <row r="431" spans="9:11" x14ac:dyDescent="0.25">
      <c r="I431">
        <f t="shared" si="12"/>
        <v>0.80600000000000005</v>
      </c>
      <c r="J431">
        <v>403</v>
      </c>
      <c r="K431">
        <f t="shared" si="13"/>
        <v>2481.3895781637716</v>
      </c>
    </row>
    <row r="432" spans="9:11" x14ac:dyDescent="0.25">
      <c r="I432">
        <f t="shared" si="12"/>
        <v>0.80799999999999994</v>
      </c>
      <c r="J432">
        <v>404</v>
      </c>
      <c r="K432">
        <f t="shared" si="13"/>
        <v>2475.2475247524753</v>
      </c>
    </row>
    <row r="433" spans="9:11" x14ac:dyDescent="0.25">
      <c r="I433">
        <f t="shared" si="12"/>
        <v>0.81</v>
      </c>
      <c r="J433">
        <v>405</v>
      </c>
      <c r="K433">
        <f t="shared" si="13"/>
        <v>2469.1358024691358</v>
      </c>
    </row>
    <row r="434" spans="9:11" x14ac:dyDescent="0.25">
      <c r="I434">
        <f t="shared" si="12"/>
        <v>0.81200000000000006</v>
      </c>
      <c r="J434">
        <v>406</v>
      </c>
      <c r="K434">
        <f t="shared" si="13"/>
        <v>2463.0541871921182</v>
      </c>
    </row>
    <row r="435" spans="9:11" x14ac:dyDescent="0.25">
      <c r="I435">
        <f t="shared" si="12"/>
        <v>0.81399999999999995</v>
      </c>
      <c r="J435">
        <v>407</v>
      </c>
      <c r="K435">
        <f t="shared" si="13"/>
        <v>2457.002457002457</v>
      </c>
    </row>
    <row r="436" spans="9:11" x14ac:dyDescent="0.25">
      <c r="I436">
        <f t="shared" si="12"/>
        <v>0.81599999999999995</v>
      </c>
      <c r="J436">
        <v>408</v>
      </c>
      <c r="K436">
        <f t="shared" si="13"/>
        <v>2450.9803921568628</v>
      </c>
    </row>
    <row r="437" spans="9:11" x14ac:dyDescent="0.25">
      <c r="I437">
        <f t="shared" si="12"/>
        <v>0.81799999999999995</v>
      </c>
      <c r="J437">
        <v>409</v>
      </c>
      <c r="K437">
        <f t="shared" si="13"/>
        <v>2444.9877750611249</v>
      </c>
    </row>
    <row r="438" spans="9:11" x14ac:dyDescent="0.25">
      <c r="I438">
        <f t="shared" si="12"/>
        <v>0.82000000000000006</v>
      </c>
      <c r="J438">
        <v>410</v>
      </c>
      <c r="K438">
        <f t="shared" si="13"/>
        <v>2439.0243902439024</v>
      </c>
    </row>
    <row r="439" spans="9:11" x14ac:dyDescent="0.25">
      <c r="I439">
        <f t="shared" si="12"/>
        <v>0.82200000000000006</v>
      </c>
      <c r="J439">
        <v>411</v>
      </c>
      <c r="K439">
        <f t="shared" si="13"/>
        <v>2433.0900243309002</v>
      </c>
    </row>
    <row r="440" spans="9:11" x14ac:dyDescent="0.25">
      <c r="I440">
        <f t="shared" si="12"/>
        <v>0.82400000000000007</v>
      </c>
      <c r="J440">
        <v>412</v>
      </c>
      <c r="K440">
        <f t="shared" si="13"/>
        <v>2427.1844660194174</v>
      </c>
    </row>
    <row r="441" spans="9:11" x14ac:dyDescent="0.25">
      <c r="I441">
        <f t="shared" si="12"/>
        <v>0.82599999999999996</v>
      </c>
      <c r="J441">
        <v>413</v>
      </c>
      <c r="K441">
        <f t="shared" si="13"/>
        <v>2421.3075060532688</v>
      </c>
    </row>
    <row r="442" spans="9:11" x14ac:dyDescent="0.25">
      <c r="I442">
        <f t="shared" si="12"/>
        <v>0.82799999999999996</v>
      </c>
      <c r="J442">
        <v>414</v>
      </c>
      <c r="K442">
        <f t="shared" si="13"/>
        <v>2415.4589371980678</v>
      </c>
    </row>
    <row r="443" spans="9:11" x14ac:dyDescent="0.25">
      <c r="I443">
        <f t="shared" si="12"/>
        <v>0.83000000000000007</v>
      </c>
      <c r="J443">
        <v>415</v>
      </c>
      <c r="K443">
        <f t="shared" si="13"/>
        <v>2409.6385542168673</v>
      </c>
    </row>
    <row r="444" spans="9:11" x14ac:dyDescent="0.25">
      <c r="I444">
        <f t="shared" si="12"/>
        <v>0.83199999999999996</v>
      </c>
      <c r="J444">
        <v>416</v>
      </c>
      <c r="K444">
        <f t="shared" si="13"/>
        <v>2403.8461538461538</v>
      </c>
    </row>
    <row r="445" spans="9:11" x14ac:dyDescent="0.25">
      <c r="I445">
        <f t="shared" si="12"/>
        <v>0.83399999999999996</v>
      </c>
      <c r="J445">
        <v>417</v>
      </c>
      <c r="K445">
        <f t="shared" si="13"/>
        <v>2398.0815347721823</v>
      </c>
    </row>
    <row r="446" spans="9:11" x14ac:dyDescent="0.25">
      <c r="I446">
        <f t="shared" si="12"/>
        <v>0.83600000000000008</v>
      </c>
      <c r="J446">
        <v>418</v>
      </c>
      <c r="K446">
        <f t="shared" si="13"/>
        <v>2392.3444976076553</v>
      </c>
    </row>
    <row r="447" spans="9:11" x14ac:dyDescent="0.25">
      <c r="I447">
        <f t="shared" si="12"/>
        <v>0.83800000000000008</v>
      </c>
      <c r="J447">
        <v>419</v>
      </c>
      <c r="K447">
        <f t="shared" si="13"/>
        <v>2386.6348448687349</v>
      </c>
    </row>
    <row r="448" spans="9:11" x14ac:dyDescent="0.25">
      <c r="I448">
        <f t="shared" si="12"/>
        <v>0.84000000000000008</v>
      </c>
      <c r="J448">
        <v>420</v>
      </c>
      <c r="K448">
        <f t="shared" si="13"/>
        <v>2380.9523809523807</v>
      </c>
    </row>
    <row r="449" spans="9:11" x14ac:dyDescent="0.25">
      <c r="I449">
        <f t="shared" si="12"/>
        <v>0.84200000000000008</v>
      </c>
      <c r="J449">
        <v>421</v>
      </c>
      <c r="K449">
        <f t="shared" si="13"/>
        <v>2375.296912114014</v>
      </c>
    </row>
    <row r="450" spans="9:11" x14ac:dyDescent="0.25">
      <c r="I450">
        <f t="shared" si="12"/>
        <v>0.84400000000000008</v>
      </c>
      <c r="J450">
        <v>422</v>
      </c>
      <c r="K450">
        <f t="shared" si="13"/>
        <v>2369.6682464454975</v>
      </c>
    </row>
    <row r="451" spans="9:11" x14ac:dyDescent="0.25">
      <c r="I451">
        <f t="shared" si="12"/>
        <v>0.84599999999999997</v>
      </c>
      <c r="J451">
        <v>423</v>
      </c>
      <c r="K451">
        <f t="shared" si="13"/>
        <v>2364.0661938534281</v>
      </c>
    </row>
    <row r="452" spans="9:11" x14ac:dyDescent="0.25">
      <c r="I452">
        <f t="shared" si="12"/>
        <v>0.84799999999999998</v>
      </c>
      <c r="J452">
        <v>424</v>
      </c>
      <c r="K452">
        <f t="shared" si="13"/>
        <v>2358.4905660377358</v>
      </c>
    </row>
    <row r="453" spans="9:11" x14ac:dyDescent="0.25">
      <c r="I453">
        <f t="shared" si="12"/>
        <v>0.85</v>
      </c>
      <c r="J453">
        <v>425</v>
      </c>
      <c r="K453">
        <f t="shared" si="13"/>
        <v>2352.9411764705883</v>
      </c>
    </row>
    <row r="454" spans="9:11" x14ac:dyDescent="0.25">
      <c r="I454">
        <f t="shared" si="12"/>
        <v>0.85199999999999998</v>
      </c>
      <c r="J454">
        <v>426</v>
      </c>
      <c r="K454">
        <f t="shared" si="13"/>
        <v>2347.4178403755868</v>
      </c>
    </row>
    <row r="455" spans="9:11" x14ac:dyDescent="0.25">
      <c r="I455">
        <f t="shared" si="12"/>
        <v>0.85399999999999987</v>
      </c>
      <c r="J455">
        <v>427</v>
      </c>
      <c r="K455">
        <f t="shared" si="13"/>
        <v>2341.9203747072602</v>
      </c>
    </row>
    <row r="456" spans="9:11" x14ac:dyDescent="0.25">
      <c r="I456">
        <f t="shared" si="12"/>
        <v>0.85599999999999998</v>
      </c>
      <c r="J456">
        <v>428</v>
      </c>
      <c r="K456">
        <f t="shared" si="13"/>
        <v>2336.4485981308412</v>
      </c>
    </row>
    <row r="457" spans="9:11" x14ac:dyDescent="0.25">
      <c r="I457">
        <f t="shared" si="12"/>
        <v>0.85799999999999998</v>
      </c>
      <c r="J457">
        <v>429</v>
      </c>
      <c r="K457">
        <f t="shared" si="13"/>
        <v>2331.0023310023312</v>
      </c>
    </row>
    <row r="458" spans="9:11" x14ac:dyDescent="0.25">
      <c r="I458">
        <f t="shared" si="12"/>
        <v>0.86</v>
      </c>
      <c r="J458">
        <v>430</v>
      </c>
      <c r="K458">
        <f t="shared" si="13"/>
        <v>2325.5813953488373</v>
      </c>
    </row>
    <row r="459" spans="9:11" x14ac:dyDescent="0.25">
      <c r="I459">
        <f t="shared" si="12"/>
        <v>0.86199999999999999</v>
      </c>
      <c r="J459">
        <v>431</v>
      </c>
      <c r="K459">
        <f t="shared" si="13"/>
        <v>2320.1856148491879</v>
      </c>
    </row>
    <row r="460" spans="9:11" x14ac:dyDescent="0.25">
      <c r="I460">
        <f t="shared" si="12"/>
        <v>0.86399999999999999</v>
      </c>
      <c r="J460">
        <v>432</v>
      </c>
      <c r="K460">
        <f t="shared" si="13"/>
        <v>2314.8148148148148</v>
      </c>
    </row>
    <row r="461" spans="9:11" x14ac:dyDescent="0.25">
      <c r="I461">
        <f t="shared" si="12"/>
        <v>0.86599999999999999</v>
      </c>
      <c r="J461">
        <v>433</v>
      </c>
      <c r="K461">
        <f t="shared" si="13"/>
        <v>2309.4688221709007</v>
      </c>
    </row>
    <row r="462" spans="9:11" x14ac:dyDescent="0.25">
      <c r="I462">
        <f t="shared" si="12"/>
        <v>0.86799999999999999</v>
      </c>
      <c r="J462">
        <v>434</v>
      </c>
      <c r="K462">
        <f t="shared" si="13"/>
        <v>2304.147465437788</v>
      </c>
    </row>
    <row r="463" spans="9:11" x14ac:dyDescent="0.25">
      <c r="I463">
        <f t="shared" si="12"/>
        <v>0.87</v>
      </c>
      <c r="J463">
        <v>435</v>
      </c>
      <c r="K463">
        <f t="shared" si="13"/>
        <v>2298.8505747126437</v>
      </c>
    </row>
    <row r="464" spans="9:11" x14ac:dyDescent="0.25">
      <c r="I464">
        <f t="shared" si="12"/>
        <v>0.87200000000000011</v>
      </c>
      <c r="J464">
        <v>436</v>
      </c>
      <c r="K464">
        <f t="shared" si="13"/>
        <v>2293.5779816513759</v>
      </c>
    </row>
    <row r="465" spans="9:11" x14ac:dyDescent="0.25">
      <c r="I465">
        <f t="shared" si="12"/>
        <v>0.874</v>
      </c>
      <c r="J465">
        <v>437</v>
      </c>
      <c r="K465">
        <f t="shared" si="13"/>
        <v>2288.3295194508009</v>
      </c>
    </row>
    <row r="466" spans="9:11" x14ac:dyDescent="0.25">
      <c r="I466">
        <f t="shared" si="12"/>
        <v>0.87600000000000011</v>
      </c>
      <c r="J466">
        <v>438</v>
      </c>
      <c r="K466">
        <f t="shared" si="13"/>
        <v>2283.1050228310501</v>
      </c>
    </row>
    <row r="467" spans="9:11" x14ac:dyDescent="0.25">
      <c r="I467">
        <f t="shared" si="12"/>
        <v>0.878</v>
      </c>
      <c r="J467">
        <v>439</v>
      </c>
      <c r="K467">
        <f t="shared" si="13"/>
        <v>2277.9043280182232</v>
      </c>
    </row>
    <row r="468" spans="9:11" x14ac:dyDescent="0.25">
      <c r="I468">
        <f t="shared" si="12"/>
        <v>0.88000000000000012</v>
      </c>
      <c r="J468">
        <v>440</v>
      </c>
      <c r="K468">
        <f t="shared" si="13"/>
        <v>2272.7272727272725</v>
      </c>
    </row>
    <row r="469" spans="9:11" x14ac:dyDescent="0.25">
      <c r="I469">
        <f t="shared" si="12"/>
        <v>0.88200000000000001</v>
      </c>
      <c r="J469">
        <v>441</v>
      </c>
      <c r="K469">
        <f t="shared" si="13"/>
        <v>2267.5736961451248</v>
      </c>
    </row>
    <row r="470" spans="9:11" x14ac:dyDescent="0.25">
      <c r="I470">
        <f t="shared" si="12"/>
        <v>0.88400000000000012</v>
      </c>
      <c r="J470">
        <v>442</v>
      </c>
      <c r="K470">
        <f t="shared" si="13"/>
        <v>2262.443438914027</v>
      </c>
    </row>
    <row r="471" spans="9:11" x14ac:dyDescent="0.25">
      <c r="I471">
        <f t="shared" si="12"/>
        <v>0.88600000000000001</v>
      </c>
      <c r="J471">
        <v>443</v>
      </c>
      <c r="K471">
        <f t="shared" si="13"/>
        <v>2257.3363431151242</v>
      </c>
    </row>
    <row r="472" spans="9:11" x14ac:dyDescent="0.25">
      <c r="I472">
        <f t="shared" si="12"/>
        <v>0.88800000000000001</v>
      </c>
      <c r="J472">
        <v>444</v>
      </c>
      <c r="K472">
        <f t="shared" si="13"/>
        <v>2252.2522522522522</v>
      </c>
    </row>
    <row r="473" spans="9:11" x14ac:dyDescent="0.25">
      <c r="I473">
        <f t="shared" si="12"/>
        <v>0.89</v>
      </c>
      <c r="J473">
        <v>445</v>
      </c>
      <c r="K473">
        <f t="shared" si="13"/>
        <v>2247.1910112359551</v>
      </c>
    </row>
    <row r="474" spans="9:11" x14ac:dyDescent="0.25">
      <c r="I474">
        <f t="shared" si="12"/>
        <v>0.89200000000000013</v>
      </c>
      <c r="J474">
        <v>446</v>
      </c>
      <c r="K474">
        <f t="shared" si="13"/>
        <v>2242.1524663677128</v>
      </c>
    </row>
    <row r="475" spans="9:11" x14ac:dyDescent="0.25">
      <c r="I475">
        <f t="shared" si="12"/>
        <v>0.89399999999999991</v>
      </c>
      <c r="J475">
        <v>447</v>
      </c>
      <c r="K475">
        <f t="shared" si="13"/>
        <v>2237.136465324385</v>
      </c>
    </row>
    <row r="476" spans="9:11" x14ac:dyDescent="0.25">
      <c r="I476">
        <f t="shared" si="12"/>
        <v>0.89599999999999991</v>
      </c>
      <c r="J476">
        <v>448</v>
      </c>
      <c r="K476">
        <f t="shared" si="13"/>
        <v>2232.1428571428573</v>
      </c>
    </row>
    <row r="477" spans="9:11" x14ac:dyDescent="0.25">
      <c r="I477">
        <f t="shared" si="12"/>
        <v>0.89800000000000013</v>
      </c>
      <c r="J477">
        <v>449</v>
      </c>
      <c r="K477">
        <f t="shared" si="13"/>
        <v>2227.1714922048996</v>
      </c>
    </row>
    <row r="478" spans="9:11" x14ac:dyDescent="0.25">
      <c r="I478">
        <f t="shared" ref="I478:I528" si="14">$K$27/K478</f>
        <v>0.9</v>
      </c>
      <c r="J478">
        <v>450</v>
      </c>
      <c r="K478">
        <f t="shared" ref="K478:K528" si="15">1000000/J478</f>
        <v>2222.2222222222222</v>
      </c>
    </row>
    <row r="479" spans="9:11" x14ac:dyDescent="0.25">
      <c r="I479">
        <f t="shared" si="14"/>
        <v>0.90199999999999991</v>
      </c>
      <c r="J479">
        <v>451</v>
      </c>
      <c r="K479">
        <f t="shared" si="15"/>
        <v>2217.2949002217297</v>
      </c>
    </row>
    <row r="480" spans="9:11" x14ac:dyDescent="0.25">
      <c r="I480">
        <f t="shared" si="14"/>
        <v>0.90399999999999991</v>
      </c>
      <c r="J480">
        <v>452</v>
      </c>
      <c r="K480">
        <f t="shared" si="15"/>
        <v>2212.3893805309735</v>
      </c>
    </row>
    <row r="481" spans="9:11" x14ac:dyDescent="0.25">
      <c r="I481">
        <f t="shared" si="14"/>
        <v>0.90600000000000003</v>
      </c>
      <c r="J481">
        <v>453</v>
      </c>
      <c r="K481">
        <f t="shared" si="15"/>
        <v>2207.5055187637968</v>
      </c>
    </row>
    <row r="482" spans="9:11" x14ac:dyDescent="0.25">
      <c r="I482">
        <f t="shared" si="14"/>
        <v>0.90800000000000014</v>
      </c>
      <c r="J482">
        <v>454</v>
      </c>
      <c r="K482">
        <f t="shared" si="15"/>
        <v>2202.6431718061672</v>
      </c>
    </row>
    <row r="483" spans="9:11" x14ac:dyDescent="0.25">
      <c r="I483">
        <f t="shared" si="14"/>
        <v>0.90999999999999992</v>
      </c>
      <c r="J483">
        <v>455</v>
      </c>
      <c r="K483">
        <f t="shared" si="15"/>
        <v>2197.802197802198</v>
      </c>
    </row>
    <row r="484" spans="9:11" x14ac:dyDescent="0.25">
      <c r="I484">
        <f t="shared" si="14"/>
        <v>0.91200000000000003</v>
      </c>
      <c r="J484">
        <v>456</v>
      </c>
      <c r="K484">
        <f t="shared" si="15"/>
        <v>2192.9824561403507</v>
      </c>
    </row>
    <row r="485" spans="9:11" x14ac:dyDescent="0.25">
      <c r="I485">
        <f t="shared" si="14"/>
        <v>0.91399999999999992</v>
      </c>
      <c r="J485">
        <v>457</v>
      </c>
      <c r="K485">
        <f t="shared" si="15"/>
        <v>2188.1838074398252</v>
      </c>
    </row>
    <row r="486" spans="9:11" x14ac:dyDescent="0.25">
      <c r="I486">
        <f t="shared" si="14"/>
        <v>0.91599999999999993</v>
      </c>
      <c r="J486">
        <v>458</v>
      </c>
      <c r="K486">
        <f t="shared" si="15"/>
        <v>2183.406113537118</v>
      </c>
    </row>
    <row r="487" spans="9:11" x14ac:dyDescent="0.25">
      <c r="I487">
        <f t="shared" si="14"/>
        <v>0.91800000000000004</v>
      </c>
      <c r="J487">
        <v>459</v>
      </c>
      <c r="K487">
        <f t="shared" si="15"/>
        <v>2178.6492374727668</v>
      </c>
    </row>
    <row r="488" spans="9:11" x14ac:dyDescent="0.25">
      <c r="I488">
        <f t="shared" si="14"/>
        <v>0.91999999999999993</v>
      </c>
      <c r="J488">
        <v>460</v>
      </c>
      <c r="K488">
        <f t="shared" si="15"/>
        <v>2173.913043478261</v>
      </c>
    </row>
    <row r="489" spans="9:11" x14ac:dyDescent="0.25">
      <c r="I489">
        <f t="shared" si="14"/>
        <v>0.92200000000000004</v>
      </c>
      <c r="J489">
        <v>461</v>
      </c>
      <c r="K489">
        <f t="shared" si="15"/>
        <v>2169.1973969631235</v>
      </c>
    </row>
    <row r="490" spans="9:11" x14ac:dyDescent="0.25">
      <c r="I490">
        <f t="shared" si="14"/>
        <v>0.92400000000000004</v>
      </c>
      <c r="J490">
        <v>462</v>
      </c>
      <c r="K490">
        <f t="shared" si="15"/>
        <v>2164.5021645021643</v>
      </c>
    </row>
    <row r="491" spans="9:11" x14ac:dyDescent="0.25">
      <c r="I491">
        <f t="shared" si="14"/>
        <v>0.92600000000000005</v>
      </c>
      <c r="J491">
        <v>463</v>
      </c>
      <c r="K491">
        <f t="shared" si="15"/>
        <v>2159.827213822894</v>
      </c>
    </row>
    <row r="492" spans="9:11" x14ac:dyDescent="0.25">
      <c r="I492">
        <f t="shared" si="14"/>
        <v>0.92800000000000005</v>
      </c>
      <c r="J492">
        <v>464</v>
      </c>
      <c r="K492">
        <f t="shared" si="15"/>
        <v>2155.1724137931033</v>
      </c>
    </row>
    <row r="493" spans="9:11" x14ac:dyDescent="0.25">
      <c r="I493">
        <f t="shared" si="14"/>
        <v>0.93</v>
      </c>
      <c r="J493">
        <v>465</v>
      </c>
      <c r="K493">
        <f t="shared" si="15"/>
        <v>2150.5376344086021</v>
      </c>
    </row>
    <row r="494" spans="9:11" x14ac:dyDescent="0.25">
      <c r="I494">
        <f t="shared" si="14"/>
        <v>0.93199999999999994</v>
      </c>
      <c r="J494">
        <v>466</v>
      </c>
      <c r="K494">
        <f t="shared" si="15"/>
        <v>2145.9227467811161</v>
      </c>
    </row>
    <row r="495" spans="9:11" x14ac:dyDescent="0.25">
      <c r="I495">
        <f t="shared" si="14"/>
        <v>0.93399999999999994</v>
      </c>
      <c r="J495">
        <v>467</v>
      </c>
      <c r="K495">
        <f t="shared" si="15"/>
        <v>2141.3276231263385</v>
      </c>
    </row>
    <row r="496" spans="9:11" x14ac:dyDescent="0.25">
      <c r="I496">
        <f t="shared" si="14"/>
        <v>0.93600000000000005</v>
      </c>
      <c r="J496">
        <v>468</v>
      </c>
      <c r="K496">
        <f t="shared" si="15"/>
        <v>2136.7521367521367</v>
      </c>
    </row>
    <row r="497" spans="9:11" x14ac:dyDescent="0.25">
      <c r="I497">
        <f t="shared" si="14"/>
        <v>0.93800000000000006</v>
      </c>
      <c r="J497">
        <v>469</v>
      </c>
      <c r="K497">
        <f t="shared" si="15"/>
        <v>2132.1961620469083</v>
      </c>
    </row>
    <row r="498" spans="9:11" x14ac:dyDescent="0.25">
      <c r="I498">
        <f t="shared" si="14"/>
        <v>0.94000000000000006</v>
      </c>
      <c r="J498">
        <v>470</v>
      </c>
      <c r="K498">
        <f t="shared" si="15"/>
        <v>2127.6595744680849</v>
      </c>
    </row>
    <row r="499" spans="9:11" x14ac:dyDescent="0.25">
      <c r="I499">
        <f t="shared" si="14"/>
        <v>0.94200000000000006</v>
      </c>
      <c r="J499">
        <v>471</v>
      </c>
      <c r="K499">
        <f t="shared" si="15"/>
        <v>2123.1422505307855</v>
      </c>
    </row>
    <row r="500" spans="9:11" x14ac:dyDescent="0.25">
      <c r="I500">
        <f t="shared" si="14"/>
        <v>0.94399999999999995</v>
      </c>
      <c r="J500">
        <v>472</v>
      </c>
      <c r="K500">
        <f t="shared" si="15"/>
        <v>2118.6440677966102</v>
      </c>
    </row>
    <row r="501" spans="9:11" x14ac:dyDescent="0.25">
      <c r="I501">
        <f t="shared" si="14"/>
        <v>0.94600000000000006</v>
      </c>
      <c r="J501">
        <v>473</v>
      </c>
      <c r="K501">
        <f t="shared" si="15"/>
        <v>2114.1649048625791</v>
      </c>
    </row>
    <row r="502" spans="9:11" x14ac:dyDescent="0.25">
      <c r="I502">
        <f t="shared" si="14"/>
        <v>0.94800000000000006</v>
      </c>
      <c r="J502">
        <v>474</v>
      </c>
      <c r="K502">
        <f t="shared" si="15"/>
        <v>2109.7046413502107</v>
      </c>
    </row>
    <row r="503" spans="9:11" x14ac:dyDescent="0.25">
      <c r="I503">
        <f t="shared" si="14"/>
        <v>0.95000000000000007</v>
      </c>
      <c r="J503">
        <v>475</v>
      </c>
      <c r="K503">
        <f t="shared" si="15"/>
        <v>2105.2631578947367</v>
      </c>
    </row>
    <row r="504" spans="9:11" x14ac:dyDescent="0.25">
      <c r="I504">
        <f t="shared" si="14"/>
        <v>0.95199999999999996</v>
      </c>
      <c r="J504">
        <v>476</v>
      </c>
      <c r="K504">
        <f t="shared" si="15"/>
        <v>2100.840336134454</v>
      </c>
    </row>
    <row r="505" spans="9:11" x14ac:dyDescent="0.25">
      <c r="I505">
        <f t="shared" si="14"/>
        <v>0.95399999999999996</v>
      </c>
      <c r="J505">
        <v>477</v>
      </c>
      <c r="K505">
        <f t="shared" si="15"/>
        <v>2096.4360587002097</v>
      </c>
    </row>
    <row r="506" spans="9:11" x14ac:dyDescent="0.25">
      <c r="I506">
        <f t="shared" si="14"/>
        <v>0.95599999999999996</v>
      </c>
      <c r="J506">
        <v>478</v>
      </c>
      <c r="K506">
        <f t="shared" si="15"/>
        <v>2092.050209205021</v>
      </c>
    </row>
    <row r="507" spans="9:11" x14ac:dyDescent="0.25">
      <c r="I507">
        <f t="shared" si="14"/>
        <v>0.95799999999999996</v>
      </c>
      <c r="J507">
        <v>479</v>
      </c>
      <c r="K507">
        <f t="shared" si="15"/>
        <v>2087.6826722338205</v>
      </c>
    </row>
    <row r="508" spans="9:11" x14ac:dyDescent="0.25">
      <c r="I508">
        <f t="shared" si="14"/>
        <v>0.96</v>
      </c>
      <c r="J508">
        <v>480</v>
      </c>
      <c r="K508">
        <f t="shared" si="15"/>
        <v>2083.3333333333335</v>
      </c>
    </row>
    <row r="509" spans="9:11" x14ac:dyDescent="0.25">
      <c r="I509">
        <f t="shared" si="14"/>
        <v>0.96199999999999997</v>
      </c>
      <c r="J509">
        <v>481</v>
      </c>
      <c r="K509">
        <f t="shared" si="15"/>
        <v>2079.002079002079</v>
      </c>
    </row>
    <row r="510" spans="9:11" x14ac:dyDescent="0.25">
      <c r="I510">
        <f t="shared" si="14"/>
        <v>0.96399999999999997</v>
      </c>
      <c r="J510">
        <v>482</v>
      </c>
      <c r="K510">
        <f t="shared" si="15"/>
        <v>2074.6887966804979</v>
      </c>
    </row>
    <row r="511" spans="9:11" x14ac:dyDescent="0.25">
      <c r="I511">
        <f t="shared" si="14"/>
        <v>0.96600000000000008</v>
      </c>
      <c r="J511">
        <v>483</v>
      </c>
      <c r="K511">
        <f t="shared" si="15"/>
        <v>2070.3933747412007</v>
      </c>
    </row>
    <row r="512" spans="9:11" x14ac:dyDescent="0.25">
      <c r="I512">
        <f t="shared" si="14"/>
        <v>0.96800000000000008</v>
      </c>
      <c r="J512">
        <v>484</v>
      </c>
      <c r="K512">
        <f t="shared" si="15"/>
        <v>2066.1157024793388</v>
      </c>
    </row>
    <row r="513" spans="9:11" x14ac:dyDescent="0.25">
      <c r="I513">
        <f t="shared" si="14"/>
        <v>0.96999999999999986</v>
      </c>
      <c r="J513">
        <v>485</v>
      </c>
      <c r="K513">
        <f t="shared" si="15"/>
        <v>2061.855670103093</v>
      </c>
    </row>
    <row r="514" spans="9:11" x14ac:dyDescent="0.25">
      <c r="I514">
        <f t="shared" si="14"/>
        <v>0.97199999999999986</v>
      </c>
      <c r="J514">
        <v>486</v>
      </c>
      <c r="K514">
        <f t="shared" si="15"/>
        <v>2057.6131687242801</v>
      </c>
    </row>
    <row r="515" spans="9:11" x14ac:dyDescent="0.25">
      <c r="I515">
        <f t="shared" si="14"/>
        <v>0.97400000000000009</v>
      </c>
      <c r="J515">
        <v>487</v>
      </c>
      <c r="K515">
        <f t="shared" si="15"/>
        <v>2053.3880903490758</v>
      </c>
    </row>
    <row r="516" spans="9:11" x14ac:dyDescent="0.25">
      <c r="I516">
        <f t="shared" si="14"/>
        <v>0.97599999999999998</v>
      </c>
      <c r="J516">
        <v>488</v>
      </c>
      <c r="K516">
        <f t="shared" si="15"/>
        <v>2049.1803278688526</v>
      </c>
    </row>
    <row r="517" spans="9:11" x14ac:dyDescent="0.25">
      <c r="I517">
        <f t="shared" si="14"/>
        <v>0.97799999999999998</v>
      </c>
      <c r="J517">
        <v>489</v>
      </c>
      <c r="K517">
        <f t="shared" si="15"/>
        <v>2044.9897750511248</v>
      </c>
    </row>
    <row r="518" spans="9:11" x14ac:dyDescent="0.25">
      <c r="I518">
        <f t="shared" si="14"/>
        <v>0.98</v>
      </c>
      <c r="J518">
        <v>490</v>
      </c>
      <c r="K518">
        <f t="shared" si="15"/>
        <v>2040.8163265306123</v>
      </c>
    </row>
    <row r="519" spans="9:11" x14ac:dyDescent="0.25">
      <c r="I519">
        <f t="shared" si="14"/>
        <v>0.9820000000000001</v>
      </c>
      <c r="J519">
        <v>491</v>
      </c>
      <c r="K519">
        <f t="shared" si="15"/>
        <v>2036.6598778004072</v>
      </c>
    </row>
    <row r="520" spans="9:11" x14ac:dyDescent="0.25">
      <c r="I520">
        <f t="shared" si="14"/>
        <v>0.98399999999999999</v>
      </c>
      <c r="J520">
        <v>492</v>
      </c>
      <c r="K520">
        <f t="shared" si="15"/>
        <v>2032.520325203252</v>
      </c>
    </row>
    <row r="521" spans="9:11" x14ac:dyDescent="0.25">
      <c r="I521">
        <f t="shared" si="14"/>
        <v>0.98599999999999999</v>
      </c>
      <c r="J521">
        <v>493</v>
      </c>
      <c r="K521">
        <f t="shared" si="15"/>
        <v>2028.3975659229209</v>
      </c>
    </row>
    <row r="522" spans="9:11" x14ac:dyDescent="0.25">
      <c r="I522">
        <f t="shared" si="14"/>
        <v>0.98799999999999999</v>
      </c>
      <c r="J522">
        <v>494</v>
      </c>
      <c r="K522">
        <f t="shared" si="15"/>
        <v>2024.2914979757086</v>
      </c>
    </row>
    <row r="523" spans="9:11" x14ac:dyDescent="0.25">
      <c r="I523">
        <f t="shared" si="14"/>
        <v>0.9900000000000001</v>
      </c>
      <c r="J523">
        <v>495</v>
      </c>
      <c r="K523">
        <f t="shared" si="15"/>
        <v>2020.2020202020201</v>
      </c>
    </row>
    <row r="524" spans="9:11" x14ac:dyDescent="0.25">
      <c r="I524">
        <f t="shared" si="14"/>
        <v>0.99199999999999999</v>
      </c>
      <c r="J524">
        <v>496</v>
      </c>
      <c r="K524">
        <f t="shared" si="15"/>
        <v>2016.1290322580646</v>
      </c>
    </row>
    <row r="525" spans="9:11" x14ac:dyDescent="0.25">
      <c r="I525">
        <f t="shared" si="14"/>
        <v>0.99399999999999999</v>
      </c>
      <c r="J525">
        <v>497</v>
      </c>
      <c r="K525">
        <f t="shared" si="15"/>
        <v>2012.0724346076458</v>
      </c>
    </row>
    <row r="526" spans="9:11" x14ac:dyDescent="0.25">
      <c r="I526">
        <f t="shared" si="14"/>
        <v>0.996</v>
      </c>
      <c r="J526">
        <v>498</v>
      </c>
      <c r="K526">
        <f t="shared" si="15"/>
        <v>2008.0321285140562</v>
      </c>
    </row>
    <row r="527" spans="9:11" x14ac:dyDescent="0.25">
      <c r="I527">
        <f t="shared" si="14"/>
        <v>0.998</v>
      </c>
      <c r="J527">
        <v>499</v>
      </c>
      <c r="K527">
        <f t="shared" si="15"/>
        <v>2004.0080160320642</v>
      </c>
    </row>
    <row r="528" spans="9:11" x14ac:dyDescent="0.25">
      <c r="I528">
        <f t="shared" si="14"/>
        <v>1</v>
      </c>
      <c r="J528">
        <v>500</v>
      </c>
      <c r="K528">
        <f t="shared" si="15"/>
        <v>2000</v>
      </c>
    </row>
    <row r="532" spans="7:7" x14ac:dyDescent="0.25">
      <c r="G532">
        <f>1000000/500</f>
        <v>2000</v>
      </c>
    </row>
  </sheetData>
  <phoneticPr fontId="1" type="noConversion"/>
  <conditionalFormatting sqref="S7:S22">
    <cfRule type="cellIs" dxfId="0" priority="1" operator="equal">
      <formula>$M$15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max_pulses_pr_rev</vt:lpstr>
      <vt:lpstr>MAXHz</vt:lpstr>
      <vt:lpstr>periode</vt:lpstr>
      <vt:lpstr>RPM</vt:lpstr>
      <vt:lpstr>RPS</vt:lpstr>
    </vt:vector>
  </TitlesOfParts>
  <Company>Safe4 Security Group 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Nicolaysen</dc:creator>
  <cp:lastModifiedBy>Jonas Nicolaysen</cp:lastModifiedBy>
  <dcterms:created xsi:type="dcterms:W3CDTF">2026-04-24T10:21:47Z</dcterms:created>
  <dcterms:modified xsi:type="dcterms:W3CDTF">2026-04-28T08:16:40Z</dcterms:modified>
</cp:coreProperties>
</file>